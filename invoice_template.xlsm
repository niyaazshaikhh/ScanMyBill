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canMyBill_IN\backend\templates\"/>
    </mc:Choice>
  </mc:AlternateContent>
  <xr:revisionPtr revIDLastSave="0" documentId="13_ncr:1_{D5406361-5F35-42EB-8104-4E45DA61A5B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BILL" sheetId="1" r:id="rId1"/>
    <sheet name="CALCULATION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  <c r="A27" i="1"/>
  <c r="A28" i="1"/>
  <c r="A29" i="1"/>
  <c r="A30" i="1"/>
  <c r="A31" i="1"/>
  <c r="A32" i="1"/>
  <c r="A33" i="1"/>
  <c r="A34" i="1"/>
  <c r="A35" i="1"/>
  <c r="A26" i="1"/>
  <c r="H25" i="1"/>
  <c r="F39" i="1"/>
  <c r="B8" i="3"/>
  <c r="B10" i="3"/>
  <c r="B11" i="3"/>
  <c r="B12" i="3"/>
  <c r="B13" i="3"/>
  <c r="E9" i="3"/>
  <c r="I27" i="1"/>
  <c r="I28" i="1"/>
  <c r="I29" i="1"/>
  <c r="I30" i="1"/>
  <c r="I31" i="1"/>
  <c r="E11" i="3" s="1"/>
  <c r="I32" i="1"/>
  <c r="E12" i="3" s="1"/>
  <c r="I33" i="1"/>
  <c r="E13" i="3" s="1"/>
  <c r="I26" i="1"/>
  <c r="H28" i="1"/>
  <c r="H29" i="1"/>
  <c r="H30" i="1"/>
  <c r="H31" i="1"/>
  <c r="H32" i="1"/>
  <c r="H33" i="1"/>
  <c r="I34" i="1" l="1"/>
  <c r="G2" i="1" s="1"/>
  <c r="E7" i="3"/>
  <c r="B7" i="3"/>
  <c r="B6" i="3"/>
  <c r="E6" i="3"/>
  <c r="E8" i="3"/>
  <c r="E10" i="3"/>
  <c r="B9" i="3"/>
  <c r="E5" i="3" l="1"/>
  <c r="E14" i="3" s="1"/>
  <c r="G45" i="1" s="1"/>
  <c r="B5" i="3"/>
  <c r="B14" i="3" s="1"/>
  <c r="H37" i="1" l="1"/>
  <c r="C44" i="1"/>
  <c r="E44" i="1"/>
  <c r="A44" i="1"/>
  <c r="G44" i="1"/>
  <c r="H36" i="1"/>
  <c r="C45" i="1"/>
  <c r="A45" i="1"/>
  <c r="E45" i="1"/>
  <c r="F45" i="1" l="1"/>
  <c r="H45" i="1"/>
  <c r="C46" i="1"/>
  <c r="F44" i="1"/>
  <c r="H44" i="1"/>
  <c r="H46" i="1" l="1"/>
  <c r="I37" i="1" s="1"/>
  <c r="I45" i="1"/>
  <c r="F46" i="1"/>
  <c r="I36" i="1" s="1"/>
  <c r="I44" i="1"/>
  <c r="I46" i="1" l="1"/>
  <c r="H4" i="3"/>
  <c r="H7" i="3" s="1"/>
  <c r="H10" i="3" s="1"/>
  <c r="I38" i="1" s="1"/>
  <c r="I39" i="1" s="1"/>
  <c r="E47" i="1" a="1"/>
  <c r="B41" i="1" a="1"/>
  <c r="E47" i="1" l="1"/>
  <c r="B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<sst xmlns="http://schemas.openxmlformats.org/spreadsheetml/2006/main" count="87" uniqueCount="66">
  <si>
    <t>Invoice No.</t>
  </si>
  <si>
    <t>Dated</t>
  </si>
  <si>
    <t>Deliver Note</t>
  </si>
  <si>
    <t>Reference No. &amp; Date.</t>
  </si>
  <si>
    <t>Buyer’s Order No.</t>
  </si>
  <si>
    <t>Dispatch Doc No</t>
  </si>
  <si>
    <t>Dispatched through</t>
  </si>
  <si>
    <t>Terms of Delivery</t>
  </si>
  <si>
    <t>Mode/Terms of payment</t>
  </si>
  <si>
    <t>Other References</t>
  </si>
  <si>
    <t>Delivery Note Date</t>
  </si>
  <si>
    <t>Destination</t>
  </si>
  <si>
    <t>Customer’s Seal and Signature</t>
  </si>
  <si>
    <t>Authorised Signatory</t>
  </si>
  <si>
    <t>Tax Amount (in words):</t>
  </si>
  <si>
    <t>SI No.</t>
  </si>
  <si>
    <t>HSN/SAC</t>
  </si>
  <si>
    <t>Taxable</t>
  </si>
  <si>
    <t>Value</t>
  </si>
  <si>
    <t>Rate</t>
  </si>
  <si>
    <t>Total Tax</t>
  </si>
  <si>
    <t>Amount</t>
  </si>
  <si>
    <t>CGST</t>
  </si>
  <si>
    <t>SGCT/UTGST</t>
  </si>
  <si>
    <t>Description of Goods</t>
  </si>
  <si>
    <t>Quantity</t>
  </si>
  <si>
    <t>per</t>
  </si>
  <si>
    <t>Amount Chargeable (in words)</t>
  </si>
  <si>
    <t>INR</t>
  </si>
  <si>
    <t>SGST</t>
  </si>
  <si>
    <t>ROUND OFF</t>
  </si>
  <si>
    <t xml:space="preserve">HSN: </t>
  </si>
  <si>
    <t>FOR</t>
  </si>
  <si>
    <t>LABEL</t>
  </si>
  <si>
    <t>TAG</t>
  </si>
  <si>
    <t>Total</t>
  </si>
  <si>
    <t>Amount + GST</t>
  </si>
  <si>
    <t>Round off</t>
  </si>
  <si>
    <t>Difference</t>
  </si>
  <si>
    <t>TOTAL</t>
  </si>
  <si>
    <t>E. &amp; O.E</t>
  </si>
  <si>
    <t>2025-26/021</t>
  </si>
  <si>
    <r>
      <rPr>
        <b/>
        <sz val="11"/>
        <color theme="1"/>
        <rFont val="Calibri"/>
        <family val="2"/>
        <scheme val="minor"/>
      </rPr>
      <t>MD ART</t>
    </r>
    <r>
      <rPr>
        <sz val="11"/>
        <color theme="1"/>
        <rFont val="Calibri"/>
        <family val="2"/>
        <scheme val="minor"/>
      </rPr>
      <t xml:space="preserve">
GALA AT OPPOSITE, BRK NO. 1861,
GANESH NAGAR, ULHASNAGAR, ULHASNAGAR,
KALYAN, THANE, MAHARASHTRA, 421005
GSTIN/UIN: 	27DBAPS8466N1ZR
State Name: 	Maharashtra, Code: 27
E-Mail: 	mdart7777@gmail.com</t>
    </r>
  </si>
  <si>
    <t>Consignee (Ship to)</t>
  </si>
  <si>
    <t>MAA CLOTHING CO</t>
  </si>
  <si>
    <t>Gala No. 2,3,4, A-wing, Damodar Bhavan, Near J.H. Poddar School, Shiv Sena Galli, Bhayandar (West), Thane - 401 101</t>
  </si>
  <si>
    <t>Gala No. 2,3,4, A-wing, Damodar Bhavan, Near J.H. Poddar School, Shiv Sena Galli, Bhayandar (West), Thane - 401 101
GSTIN/UIN: 	27DBAPS8466N1ZR
State Name: 	Maharashtra, Code: 27
E-Mail: 	mdart7777@gmail.com</t>
  </si>
  <si>
    <t xml:space="preserve">GSTIN/UIN: </t>
  </si>
  <si>
    <t xml:space="preserve">	27DBAPS8466N1ZR</t>
  </si>
  <si>
    <t xml:space="preserve">State Name: </t>
  </si>
  <si>
    <t xml:space="preserve">E-Mail: 	</t>
  </si>
  <si>
    <t>mdart7777@gmail.com</t>
  </si>
  <si>
    <t>27CDCPS1574E1ZI</t>
  </si>
  <si>
    <t>Maharashtra, Code: 27</t>
  </si>
  <si>
    <t xml:space="preserve">Place of Supply	: </t>
  </si>
  <si>
    <t>Maharashtra</t>
  </si>
  <si>
    <t>Company’s Bank Details</t>
  </si>
  <si>
    <t>HDFC A/C</t>
  </si>
  <si>
    <t>99999766663044</t>
  </si>
  <si>
    <t xml:space="preserve">Branch &amp; IFS Code    :  </t>
  </si>
  <si>
    <t>ULHASNAGAR-4 &amp; HDFC0001805</t>
  </si>
  <si>
    <t>A/c No. 	        :</t>
  </si>
  <si>
    <t>Bank Name 	        :</t>
  </si>
  <si>
    <t>MD ART</t>
  </si>
  <si>
    <t xml:space="preserve">for </t>
  </si>
  <si>
    <t>GALA AT OPPOSITE, BRK NO. 1861,
GANESH NAGAR, ULHASNAGAR, ULHASNAGAR,
KALYAN, THANE, MAHARASHTRA, 421005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</si>
</sst>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#,##0\ &quot;pcs&quot;"/>
    <numFmt numFmtId="165" formatCode="_ [$₹-439]* #,##0.00_ ;_ [$₹-439]* \-#,##0.00_ ;_ [$₹-439]* &quot;-&quot;??_ ;_ @_ "/>
    <numFmt numFmtId="167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3" xfId="0" applyFont="1" applyBorder="1" applyAlignment="1">
      <alignment vertical="center"/>
    </xf>
    <xf numFmtId="0" fontId="2" fillId="0" borderId="13" xfId="0" applyFont="1" applyBorder="1" applyAlignment="1">
      <alignment horizontal="center" vertical="center"/>
    </xf>
    <xf numFmtId="164" fontId="2" fillId="0" borderId="13" xfId="1" applyNumberFormat="1" applyFont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left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3" fontId="0" fillId="0" borderId="1" xfId="1" applyFont="1" applyBorder="1" applyAlignment="1">
      <alignment vertical="center"/>
    </xf>
    <xf numFmtId="43" fontId="2" fillId="0" borderId="1" xfId="0" applyNumberFormat="1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vertical="center"/>
    </xf>
    <xf numFmtId="167" fontId="2" fillId="0" borderId="7" xfId="0" applyNumberFormat="1" applyFont="1" applyBorder="1" applyAlignment="1">
      <alignment horizontal="left" vertical="center"/>
    </xf>
    <xf numFmtId="167" fontId="2" fillId="0" borderId="0" xfId="0" applyNumberFormat="1" applyFont="1" applyAlignment="1">
      <alignment vertical="center"/>
    </xf>
    <xf numFmtId="2" fontId="0" fillId="0" borderId="13" xfId="0" applyNumberFormat="1" applyBorder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0" fillId="0" borderId="3" xfId="0" applyBorder="1" applyAlignment="1">
      <alignment horizontal="right" vertical="center"/>
    </xf>
    <xf numFmtId="0" fontId="7" fillId="0" borderId="0" xfId="0" applyFont="1" applyAlignment="1">
      <alignment horizontal="right" vertical="top"/>
    </xf>
    <xf numFmtId="0" fontId="8" fillId="0" borderId="0" xfId="0" applyFont="1" applyAlignment="1">
      <alignment horizontal="left" vertical="top"/>
    </xf>
    <xf numFmtId="0" fontId="8" fillId="0" borderId="6" xfId="0" applyFont="1" applyBorder="1" applyAlignment="1">
      <alignment horizontal="left" vertical="top"/>
    </xf>
    <xf numFmtId="49" fontId="8" fillId="0" borderId="0" xfId="0" applyNumberFormat="1" applyFont="1" applyAlignment="1">
      <alignment horizontal="left" vertical="top"/>
    </xf>
    <xf numFmtId="49" fontId="8" fillId="0" borderId="6" xfId="0" applyNumberFormat="1" applyFont="1" applyBorder="1" applyAlignment="1">
      <alignment horizontal="left" vertical="top"/>
    </xf>
    <xf numFmtId="0" fontId="7" fillId="0" borderId="8" xfId="0" applyFont="1" applyBorder="1" applyAlignment="1">
      <alignment horizontal="right" vertical="top"/>
    </xf>
    <xf numFmtId="0" fontId="8" fillId="0" borderId="8" xfId="0" applyFont="1" applyBorder="1" applyAlignment="1">
      <alignment horizontal="left" vertical="top"/>
    </xf>
    <xf numFmtId="0" fontId="8" fillId="0" borderId="9" xfId="0" applyFont="1" applyBorder="1" applyAlignment="1">
      <alignment horizontal="left" vertical="top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0" xfId="0" applyFont="1" applyAlignment="1">
      <alignment horizont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7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43" fontId="2" fillId="0" borderId="10" xfId="0" applyNumberFormat="1" applyFont="1" applyBorder="1" applyAlignment="1">
      <alignment horizontal="center" vertical="center"/>
    </xf>
    <xf numFmtId="43" fontId="2" fillId="0" borderId="12" xfId="0" applyNumberFormat="1" applyFont="1" applyBorder="1" applyAlignment="1">
      <alignment horizontal="center" vertical="center"/>
    </xf>
    <xf numFmtId="43" fontId="0" fillId="0" borderId="10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43" fontId="2" fillId="0" borderId="5" xfId="0" applyNumberFormat="1" applyFont="1" applyBorder="1" applyAlignment="1">
      <alignment horizontal="center" vertical="center"/>
    </xf>
    <xf numFmtId="43" fontId="2" fillId="0" borderId="7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5" fontId="2" fillId="0" borderId="10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43" fontId="2" fillId="0" borderId="5" xfId="1" applyFont="1" applyBorder="1" applyAlignment="1">
      <alignment horizontal="center" vertical="center"/>
    </xf>
    <xf numFmtId="43" fontId="2" fillId="0" borderId="6" xfId="1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4" xfId="1" applyFont="1" applyBorder="1" applyAlignment="1">
      <alignment horizontal="center" vertical="center"/>
    </xf>
    <xf numFmtId="43" fontId="0" fillId="0" borderId="1" xfId="1" applyFont="1" applyBorder="1" applyAlignment="1">
      <alignment horizontal="center"/>
    </xf>
    <xf numFmtId="43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6705600" cy="1904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DAB2CE-5DCE-41F4-B4DC-4113B8EEB4CD}"/>
            </a:ext>
          </a:extLst>
        </xdr:cNvPr>
        <xdr:cNvSpPr txBox="1"/>
      </xdr:nvSpPr>
      <xdr:spPr>
        <a:xfrm>
          <a:off x="0" y="1"/>
          <a:ext cx="6705600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TAX INVOICE</a:t>
          </a:r>
        </a:p>
      </xdr:txBody>
    </xdr:sp>
    <xdr:clientData/>
  </xdr:oneCellAnchor>
  <xdr:oneCellAnchor>
    <xdr:from>
      <xdr:col>0</xdr:col>
      <xdr:colOff>0</xdr:colOff>
      <xdr:row>55</xdr:row>
      <xdr:rowOff>0</xdr:rowOff>
    </xdr:from>
    <xdr:ext cx="6705600" cy="19049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0A90936-6FA9-492C-9B7F-0A1AFA283FB9}"/>
            </a:ext>
          </a:extLst>
        </xdr:cNvPr>
        <xdr:cNvSpPr txBox="1"/>
      </xdr:nvSpPr>
      <xdr:spPr>
        <a:xfrm>
          <a:off x="0" y="10477500"/>
          <a:ext cx="6705600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0" baseline="0">
              <a:latin typeface="+mn-lt"/>
            </a:rPr>
            <a:t>This is a Computer Generated Invoice</a:t>
          </a:r>
          <a:endParaRPr lang="en-US" sz="1100" b="0">
            <a:latin typeface="+mn-lt"/>
          </a:endParaRPr>
        </a:p>
      </xdr:txBody>
    </xdr:sp>
    <xdr:clientData/>
  </xdr:oneCellAnchor>
  <xdr:oneCellAnchor>
    <xdr:from>
      <xdr:col>0</xdr:col>
      <xdr:colOff>1</xdr:colOff>
      <xdr:row>47</xdr:row>
      <xdr:rowOff>0</xdr:rowOff>
    </xdr:from>
    <xdr:ext cx="3048000" cy="77856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107ABD-7658-42C6-8B21-6751F5BFBE49}"/>
            </a:ext>
          </a:extLst>
        </xdr:cNvPr>
        <xdr:cNvSpPr txBox="1"/>
      </xdr:nvSpPr>
      <xdr:spPr>
        <a:xfrm>
          <a:off x="1" y="8953500"/>
          <a:ext cx="3048000" cy="77856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Declaration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We declare that this invoice shows the actual price of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goods described and that all particulars are true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correct.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L55"/>
  <sheetViews>
    <sheetView showGridLines="0" tabSelected="1" topLeftCell="A2" zoomScale="115" zoomScaleNormal="115" workbookViewId="0">
      <selection activeCell="I26" sqref="I26:J26"/>
    </sheetView>
  </sheetViews>
  <sheetFormatPr defaultColWidth="9.109375" defaultRowHeight="14.4" x14ac:dyDescent="0.3"/>
  <cols>
    <col min="1" max="1" width="6.109375" style="3" customWidth="1"/>
    <col min="2" max="5" width="9.109375" style="3"/>
    <col min="6" max="6" width="14.88671875" style="3" customWidth="1"/>
    <col min="7" max="7" width="9.109375" style="3"/>
    <col min="8" max="8" width="14.88671875" style="3" customWidth="1"/>
    <col min="9" max="11" width="9.109375" style="3"/>
    <col min="12" max="12" width="9.6640625" style="3" bestFit="1" customWidth="1"/>
    <col min="13" max="16384" width="9.109375" style="3"/>
  </cols>
  <sheetData>
    <row r="2" spans="1:12" ht="14.4" customHeight="1" x14ac:dyDescent="0.3">
      <c r="A2" s="67" t="s">
        <v>42</v>
      </c>
      <c r="B2" s="68"/>
      <c r="C2" s="68"/>
      <c r="D2" s="68"/>
      <c r="E2" s="69"/>
      <c r="F2" s="2" t="s">
        <v>0</v>
      </c>
      <c r="G2" s="27" t="str">
        <f>IF(I34&gt;50000,"e-way no.","")</f>
        <v>e-way no.</v>
      </c>
      <c r="H2" s="2" t="s">
        <v>1</v>
      </c>
      <c r="I2" s="4"/>
      <c r="J2" s="5"/>
    </row>
    <row r="3" spans="1:12" ht="14.4" customHeight="1" x14ac:dyDescent="0.3">
      <c r="A3" s="58" t="s">
        <v>65</v>
      </c>
      <c r="B3" s="59"/>
      <c r="C3" s="59"/>
      <c r="D3" s="59"/>
      <c r="E3" s="60"/>
      <c r="F3" s="8" t="s">
        <v>41</v>
      </c>
      <c r="G3" s="10"/>
      <c r="H3" s="31">
        <v>46073</v>
      </c>
      <c r="I3" s="9"/>
      <c r="J3" s="10"/>
      <c r="L3" s="32"/>
    </row>
    <row r="4" spans="1:12" x14ac:dyDescent="0.3">
      <c r="A4" s="58"/>
      <c r="B4" s="59"/>
      <c r="C4" s="59"/>
      <c r="D4" s="59"/>
      <c r="E4" s="60"/>
      <c r="F4" s="2" t="s">
        <v>2</v>
      </c>
      <c r="G4" s="5"/>
      <c r="H4" s="2" t="s">
        <v>8</v>
      </c>
      <c r="I4" s="4"/>
      <c r="J4" s="5"/>
    </row>
    <row r="5" spans="1:12" x14ac:dyDescent="0.3">
      <c r="A5" s="58"/>
      <c r="B5" s="59"/>
      <c r="C5" s="59"/>
      <c r="D5" s="59"/>
      <c r="E5" s="60"/>
      <c r="F5" s="11"/>
      <c r="G5" s="10"/>
      <c r="H5" s="11"/>
      <c r="I5" s="9"/>
      <c r="J5" s="10"/>
    </row>
    <row r="6" spans="1:12" x14ac:dyDescent="0.3">
      <c r="A6" s="61" t="s">
        <v>47</v>
      </c>
      <c r="B6" s="62"/>
      <c r="C6" s="62" t="s">
        <v>48</v>
      </c>
      <c r="D6" s="62"/>
      <c r="E6" s="63"/>
      <c r="F6" s="2" t="s">
        <v>3</v>
      </c>
      <c r="G6" s="5"/>
      <c r="H6" s="2" t="s">
        <v>9</v>
      </c>
      <c r="I6" s="4"/>
      <c r="J6" s="5"/>
    </row>
    <row r="7" spans="1:12" x14ac:dyDescent="0.3">
      <c r="A7" s="61" t="s">
        <v>49</v>
      </c>
      <c r="B7" s="62"/>
      <c r="C7" s="62" t="s">
        <v>53</v>
      </c>
      <c r="D7" s="62"/>
      <c r="E7" s="63"/>
      <c r="F7" s="11"/>
      <c r="G7" s="10"/>
      <c r="H7" s="11"/>
      <c r="I7" s="9"/>
      <c r="J7" s="10"/>
    </row>
    <row r="8" spans="1:12" x14ac:dyDescent="0.3">
      <c r="A8" s="64" t="s">
        <v>50</v>
      </c>
      <c r="B8" s="65"/>
      <c r="C8" s="65" t="s">
        <v>51</v>
      </c>
      <c r="D8" s="65"/>
      <c r="E8" s="66"/>
      <c r="F8" s="2" t="s">
        <v>4</v>
      </c>
      <c r="G8" s="5"/>
      <c r="H8" s="2" t="s">
        <v>1</v>
      </c>
      <c r="I8" s="4"/>
      <c r="J8" s="5"/>
    </row>
    <row r="9" spans="1:12" x14ac:dyDescent="0.3">
      <c r="A9" s="54" t="s">
        <v>43</v>
      </c>
      <c r="B9" s="55"/>
      <c r="C9" s="55"/>
      <c r="D9" s="55"/>
      <c r="E9" s="56"/>
      <c r="F9" s="11"/>
      <c r="G9" s="10"/>
      <c r="H9" s="11"/>
      <c r="I9" s="9"/>
      <c r="J9" s="10"/>
    </row>
    <row r="10" spans="1:12" x14ac:dyDescent="0.3">
      <c r="A10" s="57" t="s">
        <v>44</v>
      </c>
      <c r="B10" s="47"/>
      <c r="C10" s="47"/>
      <c r="D10" s="47"/>
      <c r="E10" s="52"/>
      <c r="F10" s="2" t="s">
        <v>5</v>
      </c>
      <c r="G10" s="5"/>
      <c r="H10" s="2" t="s">
        <v>10</v>
      </c>
      <c r="I10" s="4"/>
      <c r="J10" s="5"/>
    </row>
    <row r="11" spans="1:12" ht="14.4" customHeight="1" x14ac:dyDescent="0.3">
      <c r="A11" s="58" t="s">
        <v>45</v>
      </c>
      <c r="B11" s="59"/>
      <c r="C11" s="59"/>
      <c r="D11" s="59"/>
      <c r="E11" s="60"/>
      <c r="F11" s="11"/>
      <c r="G11" s="10"/>
      <c r="H11" s="11"/>
      <c r="I11" s="9"/>
      <c r="J11" s="10"/>
    </row>
    <row r="12" spans="1:12" x14ac:dyDescent="0.3">
      <c r="A12" s="58"/>
      <c r="B12" s="59"/>
      <c r="C12" s="59"/>
      <c r="D12" s="59"/>
      <c r="E12" s="60"/>
      <c r="F12" s="2" t="s">
        <v>6</v>
      </c>
      <c r="G12" s="5"/>
      <c r="H12" s="2" t="s">
        <v>11</v>
      </c>
      <c r="I12" s="4"/>
      <c r="J12" s="5"/>
    </row>
    <row r="13" spans="1:12" x14ac:dyDescent="0.3">
      <c r="A13" s="58"/>
      <c r="B13" s="59"/>
      <c r="C13" s="59"/>
      <c r="D13" s="59"/>
      <c r="E13" s="60"/>
      <c r="F13" s="11"/>
      <c r="G13" s="10"/>
      <c r="H13" s="11"/>
      <c r="I13" s="9"/>
      <c r="J13" s="10"/>
    </row>
    <row r="14" spans="1:12" x14ac:dyDescent="0.3">
      <c r="A14" s="61" t="s">
        <v>47</v>
      </c>
      <c r="B14" s="62"/>
      <c r="C14" s="47" t="s">
        <v>52</v>
      </c>
      <c r="D14" s="47"/>
      <c r="E14" s="52"/>
      <c r="F14" s="2" t="s">
        <v>7</v>
      </c>
      <c r="G14" s="4"/>
      <c r="J14" s="7"/>
    </row>
    <row r="15" spans="1:12" x14ac:dyDescent="0.3">
      <c r="A15" s="61" t="s">
        <v>49</v>
      </c>
      <c r="B15" s="62"/>
      <c r="C15" s="62" t="s">
        <v>53</v>
      </c>
      <c r="D15" s="62"/>
      <c r="E15" s="63"/>
      <c r="F15" s="6"/>
      <c r="J15" s="7"/>
    </row>
    <row r="16" spans="1:12" x14ac:dyDescent="0.3">
      <c r="A16" s="54" t="s">
        <v>43</v>
      </c>
      <c r="B16" s="55"/>
      <c r="C16" s="55"/>
      <c r="D16" s="55"/>
      <c r="E16" s="56"/>
      <c r="F16" s="6"/>
      <c r="J16" s="7"/>
    </row>
    <row r="17" spans="1:10" x14ac:dyDescent="0.3">
      <c r="A17" s="57" t="s">
        <v>44</v>
      </c>
      <c r="B17" s="47"/>
      <c r="C17" s="47"/>
      <c r="D17" s="47"/>
      <c r="E17" s="52"/>
      <c r="F17" s="6"/>
      <c r="J17" s="7"/>
    </row>
    <row r="18" spans="1:10" x14ac:dyDescent="0.3">
      <c r="A18" s="58" t="s">
        <v>46</v>
      </c>
      <c r="B18" s="59"/>
      <c r="C18" s="59"/>
      <c r="D18" s="59"/>
      <c r="E18" s="60"/>
      <c r="F18" s="6"/>
      <c r="J18" s="7"/>
    </row>
    <row r="19" spans="1:10" x14ac:dyDescent="0.3">
      <c r="A19" s="58"/>
      <c r="B19" s="59"/>
      <c r="C19" s="59"/>
      <c r="D19" s="59"/>
      <c r="E19" s="60"/>
      <c r="F19" s="6"/>
      <c r="J19" s="7"/>
    </row>
    <row r="20" spans="1:10" x14ac:dyDescent="0.3">
      <c r="A20" s="58"/>
      <c r="B20" s="59"/>
      <c r="C20" s="59"/>
      <c r="D20" s="59"/>
      <c r="E20" s="60"/>
      <c r="F20" s="6"/>
      <c r="J20" s="7"/>
    </row>
    <row r="21" spans="1:10" x14ac:dyDescent="0.3">
      <c r="A21" s="61" t="s">
        <v>47</v>
      </c>
      <c r="B21" s="62"/>
      <c r="C21" s="47" t="s">
        <v>52</v>
      </c>
      <c r="D21" s="47"/>
      <c r="E21" s="52"/>
      <c r="F21" s="6"/>
      <c r="J21" s="7"/>
    </row>
    <row r="22" spans="1:10" x14ac:dyDescent="0.3">
      <c r="A22" s="46" t="s">
        <v>49</v>
      </c>
      <c r="B22" s="47"/>
      <c r="C22" s="47" t="s">
        <v>53</v>
      </c>
      <c r="D22" s="47"/>
      <c r="E22" s="52"/>
      <c r="F22" s="6"/>
      <c r="J22" s="7"/>
    </row>
    <row r="23" spans="1:10" x14ac:dyDescent="0.3">
      <c r="A23" s="48" t="s">
        <v>54</v>
      </c>
      <c r="B23" s="49"/>
      <c r="C23" s="50" t="s">
        <v>55</v>
      </c>
      <c r="D23" s="50"/>
      <c r="E23" s="51"/>
      <c r="F23" s="11"/>
      <c r="G23" s="9"/>
      <c r="H23" s="9"/>
      <c r="I23" s="9"/>
      <c r="J23" s="10"/>
    </row>
    <row r="24" spans="1:10" x14ac:dyDescent="0.3">
      <c r="A24" s="15" t="s">
        <v>15</v>
      </c>
      <c r="B24" s="103" t="s">
        <v>24</v>
      </c>
      <c r="C24" s="104"/>
      <c r="D24" s="105"/>
      <c r="E24" s="15" t="s">
        <v>16</v>
      </c>
      <c r="F24" s="15" t="s">
        <v>25</v>
      </c>
      <c r="G24" s="15" t="s">
        <v>19</v>
      </c>
      <c r="H24" s="15" t="s">
        <v>26</v>
      </c>
      <c r="I24" s="103" t="s">
        <v>21</v>
      </c>
      <c r="J24" s="105"/>
    </row>
    <row r="25" spans="1:10" x14ac:dyDescent="0.3">
      <c r="A25" s="17">
        <v>1</v>
      </c>
      <c r="B25" s="106" t="s">
        <v>34</v>
      </c>
      <c r="C25" s="107"/>
      <c r="D25" s="108"/>
      <c r="E25" s="14">
        <v>4821</v>
      </c>
      <c r="F25" s="18">
        <v>13250</v>
      </c>
      <c r="G25" s="14">
        <v>6</v>
      </c>
      <c r="H25" s="19" t="str">
        <f>IF(G25&gt;0,"pcs","")</f>
        <v>pcs</v>
      </c>
      <c r="I25" s="111">
        <f>IF(F25&gt;0,F25*G25,"")</f>
        <v>79500</v>
      </c>
      <c r="J25" s="112"/>
    </row>
    <row r="26" spans="1:10" x14ac:dyDescent="0.3">
      <c r="A26" s="17" t="str">
        <f>IF(ISBLANK(B26),"",A25+1)</f>
        <v/>
      </c>
      <c r="B26" s="57"/>
      <c r="C26" s="72"/>
      <c r="D26" s="73"/>
      <c r="E26" s="14"/>
      <c r="F26" s="18"/>
      <c r="G26" s="14"/>
      <c r="H26" s="19"/>
      <c r="I26" s="109" t="str">
        <f>IF(F26&gt;0,F26*G26,"")</f>
        <v/>
      </c>
      <c r="J26" s="110"/>
    </row>
    <row r="27" spans="1:10" x14ac:dyDescent="0.3">
      <c r="A27" s="17" t="str">
        <f t="shared" ref="A27:A35" si="0">IF(ISBLANK(B27),"",A26+1)</f>
        <v/>
      </c>
      <c r="B27" s="57"/>
      <c r="C27" s="72"/>
      <c r="D27" s="73"/>
      <c r="E27" s="14"/>
      <c r="F27" s="18"/>
      <c r="G27" s="14"/>
      <c r="H27" s="19"/>
      <c r="I27" s="109" t="str">
        <f t="shared" ref="I27:I33" si="1">IF(F27&gt;0,F27*G27,"")</f>
        <v/>
      </c>
      <c r="J27" s="110"/>
    </row>
    <row r="28" spans="1:10" x14ac:dyDescent="0.3">
      <c r="A28" s="17" t="str">
        <f t="shared" si="0"/>
        <v/>
      </c>
      <c r="B28" s="57"/>
      <c r="C28" s="72"/>
      <c r="D28" s="73"/>
      <c r="E28" s="14"/>
      <c r="F28" s="18"/>
      <c r="G28" s="14"/>
      <c r="H28" s="19" t="str">
        <f t="shared" ref="H28:H33" si="2">IF(G28&gt;0,"pcs","")</f>
        <v/>
      </c>
      <c r="I28" s="109" t="str">
        <f t="shared" si="1"/>
        <v/>
      </c>
      <c r="J28" s="110"/>
    </row>
    <row r="29" spans="1:10" x14ac:dyDescent="0.3">
      <c r="A29" s="17" t="str">
        <f t="shared" si="0"/>
        <v/>
      </c>
      <c r="B29" s="57"/>
      <c r="C29" s="72"/>
      <c r="D29" s="73"/>
      <c r="E29" s="14"/>
      <c r="F29" s="18"/>
      <c r="G29" s="14"/>
      <c r="H29" s="19" t="str">
        <f t="shared" si="2"/>
        <v/>
      </c>
      <c r="I29" s="109" t="str">
        <f t="shared" si="1"/>
        <v/>
      </c>
      <c r="J29" s="110"/>
    </row>
    <row r="30" spans="1:10" x14ac:dyDescent="0.3">
      <c r="A30" s="17" t="str">
        <f t="shared" si="0"/>
        <v/>
      </c>
      <c r="B30" s="57"/>
      <c r="C30" s="72"/>
      <c r="D30" s="73"/>
      <c r="E30" s="14"/>
      <c r="F30" s="18"/>
      <c r="G30" s="14"/>
      <c r="H30" s="19" t="str">
        <f t="shared" si="2"/>
        <v/>
      </c>
      <c r="I30" s="109" t="str">
        <f t="shared" si="1"/>
        <v/>
      </c>
      <c r="J30" s="110"/>
    </row>
    <row r="31" spans="1:10" x14ac:dyDescent="0.3">
      <c r="A31" s="17" t="str">
        <f t="shared" si="0"/>
        <v/>
      </c>
      <c r="B31" s="57"/>
      <c r="C31" s="72"/>
      <c r="D31" s="73"/>
      <c r="E31" s="14"/>
      <c r="F31" s="18"/>
      <c r="G31" s="14"/>
      <c r="H31" s="19" t="str">
        <f t="shared" si="2"/>
        <v/>
      </c>
      <c r="I31" s="109" t="str">
        <f t="shared" si="1"/>
        <v/>
      </c>
      <c r="J31" s="110"/>
    </row>
    <row r="32" spans="1:10" x14ac:dyDescent="0.3">
      <c r="A32" s="17" t="str">
        <f t="shared" si="0"/>
        <v/>
      </c>
      <c r="B32" s="57"/>
      <c r="C32" s="72"/>
      <c r="D32" s="73"/>
      <c r="E32" s="14"/>
      <c r="F32" s="18"/>
      <c r="G32" s="14"/>
      <c r="H32" s="19" t="str">
        <f t="shared" si="2"/>
        <v/>
      </c>
      <c r="I32" s="109" t="str">
        <f t="shared" si="1"/>
        <v/>
      </c>
      <c r="J32" s="110"/>
    </row>
    <row r="33" spans="1:10" x14ac:dyDescent="0.3">
      <c r="A33" s="17" t="str">
        <f t="shared" si="0"/>
        <v/>
      </c>
      <c r="B33" s="57"/>
      <c r="C33" s="72"/>
      <c r="D33" s="73"/>
      <c r="E33" s="14"/>
      <c r="F33" s="18"/>
      <c r="G33" s="14"/>
      <c r="H33" s="19" t="str">
        <f t="shared" si="2"/>
        <v/>
      </c>
      <c r="I33" s="109" t="str">
        <f t="shared" si="1"/>
        <v/>
      </c>
      <c r="J33" s="110"/>
    </row>
    <row r="34" spans="1:10" x14ac:dyDescent="0.3">
      <c r="A34" s="17" t="str">
        <f t="shared" si="0"/>
        <v/>
      </c>
      <c r="B34" s="57"/>
      <c r="C34" s="72"/>
      <c r="D34" s="73"/>
      <c r="E34" s="14"/>
      <c r="F34" s="18"/>
      <c r="G34" s="14"/>
      <c r="H34" s="19"/>
      <c r="I34" s="111">
        <f xml:space="preserve"> IF(SUM(I25:J33)&gt;0,SUM(I25:J33),0)</f>
        <v>79500</v>
      </c>
      <c r="J34" s="112"/>
    </row>
    <row r="35" spans="1:10" x14ac:dyDescent="0.3">
      <c r="A35" s="17" t="str">
        <f t="shared" si="0"/>
        <v/>
      </c>
      <c r="B35" s="95"/>
      <c r="C35" s="96"/>
      <c r="D35" s="97"/>
      <c r="E35" s="14"/>
      <c r="F35" s="16"/>
      <c r="G35" s="14"/>
      <c r="H35" s="14"/>
      <c r="I35" s="95"/>
      <c r="J35" s="97"/>
    </row>
    <row r="36" spans="1:10" x14ac:dyDescent="0.3">
      <c r="A36" s="17"/>
      <c r="B36" s="79" t="s">
        <v>22</v>
      </c>
      <c r="C36" s="80"/>
      <c r="D36" s="81"/>
      <c r="E36" s="14"/>
      <c r="F36" s="16"/>
      <c r="G36" s="14"/>
      <c r="H36" s="33" t="str">
        <f>IF(AND(CALCULATION!B14&gt;0,CALCULATION!E14&gt;0),"",IF(CALCULATION!B14&gt;0,"6%",IF(CALCULATION!E14&gt;0,"9%","")))</f>
        <v>9%</v>
      </c>
      <c r="I36" s="98">
        <f>IF(I34&gt;0,F46,"")</f>
        <v>7155</v>
      </c>
      <c r="J36" s="97"/>
    </row>
    <row r="37" spans="1:10" x14ac:dyDescent="0.3">
      <c r="A37" s="17"/>
      <c r="B37" s="79" t="s">
        <v>29</v>
      </c>
      <c r="C37" s="80"/>
      <c r="D37" s="81"/>
      <c r="E37" s="14"/>
      <c r="F37" s="16"/>
      <c r="G37" s="14"/>
      <c r="H37" s="33" t="str">
        <f>IF(AND(CALCULATION!B14&gt;0,CALCULATION!E14&gt;0),"",IF(CALCULATION!B14&gt;0,"6%",IF(CALCULATION!E14&gt;0,"9%","")))</f>
        <v>9%</v>
      </c>
      <c r="I37" s="98">
        <f>IF(I34&gt;0,H46,"")</f>
        <v>7155</v>
      </c>
      <c r="J37" s="97"/>
    </row>
    <row r="38" spans="1:10" x14ac:dyDescent="0.3">
      <c r="A38" s="17"/>
      <c r="B38" s="82" t="s">
        <v>30</v>
      </c>
      <c r="C38" s="83"/>
      <c r="D38" s="84"/>
      <c r="E38" s="14"/>
      <c r="F38" s="16"/>
      <c r="G38" s="14"/>
      <c r="H38" s="14"/>
      <c r="I38" s="99">
        <f>IF(I34&gt;0,CALCULATION!H10,"")</f>
        <v>0</v>
      </c>
      <c r="J38" s="100"/>
    </row>
    <row r="39" spans="1:10" x14ac:dyDescent="0.3">
      <c r="A39" s="13"/>
      <c r="B39" s="85" t="s">
        <v>39</v>
      </c>
      <c r="C39" s="86"/>
      <c r="D39" s="87"/>
      <c r="E39" s="13"/>
      <c r="F39" s="25">
        <f>SUM(F25:F33)</f>
        <v>13250</v>
      </c>
      <c r="G39" s="13"/>
      <c r="H39" s="13"/>
      <c r="I39" s="101">
        <f>IF(I34&gt;0,SUM(I34:J38),0)</f>
        <v>93810</v>
      </c>
      <c r="J39" s="102"/>
    </row>
    <row r="40" spans="1:10" x14ac:dyDescent="0.3">
      <c r="A40" s="2" t="s">
        <v>27</v>
      </c>
      <c r="B40" s="4"/>
      <c r="C40" s="4"/>
      <c r="D40" s="4"/>
      <c r="E40" s="4"/>
      <c r="F40" s="4"/>
      <c r="G40" s="4"/>
      <c r="H40" s="4"/>
      <c r="I40" s="4"/>
      <c r="J40" s="26" t="s">
        <v>40</v>
      </c>
    </row>
    <row r="41" spans="1:10" x14ac:dyDescent="0.3">
      <c r="A41" s="8" t="s">
        <v>28</v>
      </c>
      <c r="B41" s="28" t="str" cm="1">
        <f t="array" ref="B41">spellamt(I39)</f>
        <v>Ninety Three Thousand Eight Hundred Ten Only</v>
      </c>
      <c r="C41" s="9"/>
      <c r="D41" s="9"/>
      <c r="E41" s="9"/>
      <c r="F41" s="9"/>
      <c r="G41" s="9"/>
      <c r="H41" s="9"/>
      <c r="I41" s="9"/>
      <c r="J41" s="10"/>
    </row>
    <row r="42" spans="1:10" x14ac:dyDescent="0.3">
      <c r="A42" s="88" t="s">
        <v>16</v>
      </c>
      <c r="B42" s="89"/>
      <c r="C42" s="93" t="s">
        <v>17</v>
      </c>
      <c r="D42" s="94"/>
      <c r="E42" s="91" t="s">
        <v>22</v>
      </c>
      <c r="F42" s="91"/>
      <c r="G42" s="91" t="s">
        <v>23</v>
      </c>
      <c r="H42" s="91"/>
      <c r="I42" s="93" t="s">
        <v>20</v>
      </c>
      <c r="J42" s="94"/>
    </row>
    <row r="43" spans="1:10" x14ac:dyDescent="0.3">
      <c r="A43" s="48"/>
      <c r="B43" s="90"/>
      <c r="C43" s="70" t="s">
        <v>18</v>
      </c>
      <c r="D43" s="71"/>
      <c r="E43" s="15" t="s">
        <v>19</v>
      </c>
      <c r="F43" s="15" t="s">
        <v>21</v>
      </c>
      <c r="G43" s="15" t="s">
        <v>19</v>
      </c>
      <c r="H43" s="15" t="s">
        <v>21</v>
      </c>
      <c r="I43" s="70" t="s">
        <v>21</v>
      </c>
      <c r="J43" s="71"/>
    </row>
    <row r="44" spans="1:10" x14ac:dyDescent="0.3">
      <c r="A44" s="91" t="str">
        <f>IF(CALCULATION!B14&gt;0,"5807","")</f>
        <v/>
      </c>
      <c r="B44" s="91"/>
      <c r="C44" s="76" t="str">
        <f>IF(CALCULATION!B14&gt;0,CALCULATION!B14,"")</f>
        <v/>
      </c>
      <c r="D44" s="77"/>
      <c r="E44" s="21" t="str">
        <f>IF(CALCULATION!B14&gt;0,"6%","")</f>
        <v/>
      </c>
      <c r="F44" s="23" t="str">
        <f>IF(CALCULATION!B14&gt;0,(C44*E44),"")</f>
        <v/>
      </c>
      <c r="G44" s="21" t="str">
        <f>IF(CALCULATION!B14&gt;0,"6%","")</f>
        <v/>
      </c>
      <c r="H44" s="23" t="str">
        <f>IF(CALCULATION!B14&gt;0,(C44*G44),"")</f>
        <v/>
      </c>
      <c r="I44" s="76" t="str">
        <f>IF(CALCULATION!B14&gt;0,SUM(F44+H44),"")</f>
        <v/>
      </c>
      <c r="J44" s="77"/>
    </row>
    <row r="45" spans="1:10" x14ac:dyDescent="0.3">
      <c r="A45" s="91" t="str">
        <f>IF(CALCULATION!E14&gt;0,"4821","")</f>
        <v>4821</v>
      </c>
      <c r="B45" s="91"/>
      <c r="C45" s="76">
        <f>IF(CALCULATION!E14&gt;0,CALCULATION!E14,"")</f>
        <v>79500</v>
      </c>
      <c r="D45" s="77"/>
      <c r="E45" s="21" t="str">
        <f>IF(CALCULATION!E14&gt;0,"9%","")</f>
        <v>9%</v>
      </c>
      <c r="F45" s="23">
        <f>IF(CALCULATION!E14&gt;0,(C45*E45),"")</f>
        <v>7155</v>
      </c>
      <c r="G45" s="21" t="str">
        <f>IF(CALCULATION!E14&gt;0,"9%","")</f>
        <v>9%</v>
      </c>
      <c r="H45" s="23">
        <f>IF(CALCULATION!E14&gt;0,(C45*G45),"")</f>
        <v>7155</v>
      </c>
      <c r="I45" s="76">
        <f>IF(CALCULATION!E14&gt;0,SUM(F45+H45),"")</f>
        <v>14310</v>
      </c>
      <c r="J45" s="77"/>
    </row>
    <row r="46" spans="1:10" x14ac:dyDescent="0.3">
      <c r="A46" s="92" t="s">
        <v>35</v>
      </c>
      <c r="B46" s="92"/>
      <c r="C46" s="74">
        <f>SUM(C44:D45)</f>
        <v>79500</v>
      </c>
      <c r="D46" s="78"/>
      <c r="E46" s="22"/>
      <c r="F46" s="24">
        <f>SUM(F44:F45)</f>
        <v>7155</v>
      </c>
      <c r="G46" s="22"/>
      <c r="H46" s="24">
        <f>SUM(H44:H45)</f>
        <v>7155</v>
      </c>
      <c r="I46" s="74">
        <f>SUM(I44:J45)</f>
        <v>14310</v>
      </c>
      <c r="J46" s="75"/>
    </row>
    <row r="47" spans="1:10" x14ac:dyDescent="0.3">
      <c r="A47" s="2" t="s">
        <v>14</v>
      </c>
      <c r="B47" s="4"/>
      <c r="C47" s="4"/>
      <c r="D47" s="29" t="s">
        <v>28</v>
      </c>
      <c r="E47" s="30" t="str" cm="1">
        <f t="array" ref="E47">spellamt(I46)</f>
        <v>Fourteen Thousand Three Hundred Ten Only</v>
      </c>
      <c r="F47" s="4"/>
      <c r="G47" s="4"/>
      <c r="H47" s="4"/>
      <c r="I47" s="4"/>
      <c r="J47" s="5"/>
    </row>
    <row r="48" spans="1:10" x14ac:dyDescent="0.3">
      <c r="A48" s="6"/>
      <c r="F48" s="53" t="s">
        <v>56</v>
      </c>
      <c r="G48" s="53"/>
      <c r="H48" s="35"/>
      <c r="I48" s="35"/>
      <c r="J48" s="36"/>
    </row>
    <row r="49" spans="1:10" x14ac:dyDescent="0.3">
      <c r="A49" s="6"/>
      <c r="F49" s="38" t="s">
        <v>62</v>
      </c>
      <c r="G49" s="38"/>
      <c r="H49" s="39" t="s">
        <v>57</v>
      </c>
      <c r="I49" s="39"/>
      <c r="J49" s="40"/>
    </row>
    <row r="50" spans="1:10" x14ac:dyDescent="0.3">
      <c r="A50" s="6"/>
      <c r="F50" s="38" t="s">
        <v>61</v>
      </c>
      <c r="G50" s="38"/>
      <c r="H50" s="41" t="s">
        <v>58</v>
      </c>
      <c r="I50" s="41"/>
      <c r="J50" s="42"/>
    </row>
    <row r="51" spans="1:10" x14ac:dyDescent="0.3">
      <c r="A51" s="6"/>
      <c r="F51" s="43" t="s">
        <v>59</v>
      </c>
      <c r="G51" s="43"/>
      <c r="H51" s="44" t="s">
        <v>60</v>
      </c>
      <c r="I51" s="44"/>
      <c r="J51" s="45"/>
    </row>
    <row r="52" spans="1:10" x14ac:dyDescent="0.3">
      <c r="A52" s="2" t="s">
        <v>12</v>
      </c>
      <c r="B52" s="4"/>
      <c r="C52" s="4"/>
      <c r="D52" s="4"/>
      <c r="E52" s="5"/>
      <c r="F52" s="2"/>
      <c r="G52" s="4"/>
      <c r="H52" s="4"/>
      <c r="I52" s="37" t="s">
        <v>64</v>
      </c>
      <c r="J52" s="34" t="s">
        <v>63</v>
      </c>
    </row>
    <row r="53" spans="1:10" x14ac:dyDescent="0.3">
      <c r="A53" s="6"/>
      <c r="E53" s="7"/>
      <c r="F53" s="6"/>
      <c r="J53" s="7"/>
    </row>
    <row r="54" spans="1:10" x14ac:dyDescent="0.3">
      <c r="A54" s="6"/>
      <c r="E54" s="7"/>
      <c r="F54" s="6"/>
      <c r="J54" s="7"/>
    </row>
    <row r="55" spans="1:10" x14ac:dyDescent="0.3">
      <c r="A55" s="11"/>
      <c r="B55" s="9"/>
      <c r="C55" s="9"/>
      <c r="D55" s="9"/>
      <c r="E55" s="10"/>
      <c r="F55" s="11"/>
      <c r="G55" s="9"/>
      <c r="H55" s="9"/>
      <c r="I55" s="9"/>
      <c r="J55" s="12" t="s">
        <v>13</v>
      </c>
    </row>
  </sheetData>
  <mergeCells count="79">
    <mergeCell ref="I24:J24"/>
    <mergeCell ref="I25:J25"/>
    <mergeCell ref="I26:J26"/>
    <mergeCell ref="I27:J27"/>
    <mergeCell ref="I28:J28"/>
    <mergeCell ref="I34:J34"/>
    <mergeCell ref="I35:J35"/>
    <mergeCell ref="I42:J42"/>
    <mergeCell ref="I43:J43"/>
    <mergeCell ref="E42:F42"/>
    <mergeCell ref="G42:H42"/>
    <mergeCell ref="I36:J36"/>
    <mergeCell ref="I37:J37"/>
    <mergeCell ref="I38:J38"/>
    <mergeCell ref="I39:J39"/>
    <mergeCell ref="B24:D24"/>
    <mergeCell ref="B25:D25"/>
    <mergeCell ref="B26:D26"/>
    <mergeCell ref="B27:D27"/>
    <mergeCell ref="B28:D28"/>
    <mergeCell ref="B29:D29"/>
    <mergeCell ref="I30:J30"/>
    <mergeCell ref="I31:J31"/>
    <mergeCell ref="I32:J32"/>
    <mergeCell ref="I33:J33"/>
    <mergeCell ref="I29:J29"/>
    <mergeCell ref="B30:D30"/>
    <mergeCell ref="A2:E2"/>
    <mergeCell ref="A3:E5"/>
    <mergeCell ref="C43:D43"/>
    <mergeCell ref="B34:D34"/>
    <mergeCell ref="I46:J46"/>
    <mergeCell ref="C44:D44"/>
    <mergeCell ref="C45:D45"/>
    <mergeCell ref="C46:D46"/>
    <mergeCell ref="B36:D36"/>
    <mergeCell ref="B37:D37"/>
    <mergeCell ref="B38:D38"/>
    <mergeCell ref="B39:D39"/>
    <mergeCell ref="I44:J44"/>
    <mergeCell ref="I45:J45"/>
    <mergeCell ref="A42:B43"/>
    <mergeCell ref="A44:B44"/>
    <mergeCell ref="A14:B14"/>
    <mergeCell ref="C14:E14"/>
    <mergeCell ref="A15:B15"/>
    <mergeCell ref="C15:E15"/>
    <mergeCell ref="A9:E9"/>
    <mergeCell ref="A10:E10"/>
    <mergeCell ref="A11:E13"/>
    <mergeCell ref="A6:B6"/>
    <mergeCell ref="C6:E6"/>
    <mergeCell ref="A7:B7"/>
    <mergeCell ref="C7:E7"/>
    <mergeCell ref="A8:B8"/>
    <mergeCell ref="C8:E8"/>
    <mergeCell ref="A16:E16"/>
    <mergeCell ref="A17:E17"/>
    <mergeCell ref="A18:E20"/>
    <mergeCell ref="A21:B21"/>
    <mergeCell ref="C21:E21"/>
    <mergeCell ref="A22:B22"/>
    <mergeCell ref="A23:B23"/>
    <mergeCell ref="C23:E23"/>
    <mergeCell ref="C22:E22"/>
    <mergeCell ref="F48:G48"/>
    <mergeCell ref="A45:B45"/>
    <mergeCell ref="A46:B46"/>
    <mergeCell ref="C42:D42"/>
    <mergeCell ref="B35:D35"/>
    <mergeCell ref="B31:D31"/>
    <mergeCell ref="B32:D32"/>
    <mergeCell ref="B33:D33"/>
    <mergeCell ref="F49:G49"/>
    <mergeCell ref="H49:J49"/>
    <mergeCell ref="F50:G50"/>
    <mergeCell ref="H50:J50"/>
    <mergeCell ref="F51:G51"/>
    <mergeCell ref="H51:J51"/>
  </mergeCells>
  <printOptions horizontalCentered="1" verticalCentered="1"/>
  <pageMargins left="0" right="0" top="0" bottom="0" header="0" footer="0"/>
  <pageSetup paperSize="9" scale="99" orientation="portrait" r:id="rId1"/>
  <ignoredErrors>
    <ignoredError sqref="F44:F45" formula="1"/>
    <ignoredError sqref="H50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AA872-BF72-4A6B-9137-CAEB5B97CEF7}">
  <sheetPr codeName="Sheet3"/>
  <dimension ref="B3:I14"/>
  <sheetViews>
    <sheetView workbookViewId="0">
      <selection activeCell="H10" sqref="H10:I10"/>
    </sheetView>
  </sheetViews>
  <sheetFormatPr defaultRowHeight="14.4" x14ac:dyDescent="0.3"/>
  <sheetData>
    <row r="3" spans="2:9" x14ac:dyDescent="0.3">
      <c r="B3" s="1" t="s">
        <v>31</v>
      </c>
      <c r="C3" s="20">
        <v>5807</v>
      </c>
      <c r="E3" s="1" t="s">
        <v>31</v>
      </c>
      <c r="F3" s="20">
        <v>4821</v>
      </c>
      <c r="H3" s="116" t="s">
        <v>36</v>
      </c>
      <c r="I3" s="116"/>
    </row>
    <row r="4" spans="2:9" x14ac:dyDescent="0.3">
      <c r="B4" s="1" t="s">
        <v>32</v>
      </c>
      <c r="C4" s="1" t="s">
        <v>33</v>
      </c>
      <c r="E4" s="1" t="s">
        <v>32</v>
      </c>
      <c r="F4" s="1" t="s">
        <v>34</v>
      </c>
      <c r="H4" s="117">
        <f>IF(BILL!I34&gt;0,BILL!I34+BILL!I36+BILL!I37,"")</f>
        <v>93810</v>
      </c>
      <c r="I4" s="118"/>
    </row>
    <row r="5" spans="2:9" x14ac:dyDescent="0.3">
      <c r="B5" s="113" t="str">
        <f>IF(BILL!E25=5807,BILL!I25,"")</f>
        <v/>
      </c>
      <c r="C5" s="113"/>
      <c r="E5" s="113">
        <f>IF(BILL!E25=4821,BILL!I25,"")</f>
        <v>79500</v>
      </c>
      <c r="F5" s="113"/>
    </row>
    <row r="6" spans="2:9" x14ac:dyDescent="0.3">
      <c r="B6" s="113" t="str">
        <f>IF(BILL!E26=5807,BILL!I26,"")</f>
        <v/>
      </c>
      <c r="C6" s="113"/>
      <c r="E6" s="113" t="str">
        <f>IF(BILL!E26=4821,BILL!I26,"")</f>
        <v/>
      </c>
      <c r="F6" s="113"/>
      <c r="H6" s="116" t="s">
        <v>37</v>
      </c>
      <c r="I6" s="116"/>
    </row>
    <row r="7" spans="2:9" x14ac:dyDescent="0.3">
      <c r="B7" s="113" t="str">
        <f>IF(BILL!E27=5807,BILL!I27,"")</f>
        <v/>
      </c>
      <c r="C7" s="113"/>
      <c r="E7" s="113" t="str">
        <f>IF(BILL!E27=4821,BILL!I27,"")</f>
        <v/>
      </c>
      <c r="F7" s="113"/>
      <c r="H7" s="117">
        <f>IF(BILL!I34&gt;0,ROUND(H4,0),"")</f>
        <v>93810</v>
      </c>
      <c r="I7" s="118"/>
    </row>
    <row r="8" spans="2:9" x14ac:dyDescent="0.3">
      <c r="B8" s="113" t="str">
        <f>IF(BILL!E28=5807,BILL!I28,"")</f>
        <v/>
      </c>
      <c r="C8" s="113"/>
      <c r="E8" s="113" t="str">
        <f>IF(BILL!E28=4821,BILL!I28,"")</f>
        <v/>
      </c>
      <c r="F8" s="113"/>
    </row>
    <row r="9" spans="2:9" x14ac:dyDescent="0.3">
      <c r="B9" s="113" t="str">
        <f>IF(BILL!E29=5807,BILL!I29,"")</f>
        <v/>
      </c>
      <c r="C9" s="113"/>
      <c r="E9" s="113" t="str">
        <f>IF(BILL!E29=4821,BILL!I29,"")</f>
        <v/>
      </c>
      <c r="F9" s="113"/>
      <c r="H9" s="116" t="s">
        <v>38</v>
      </c>
      <c r="I9" s="116"/>
    </row>
    <row r="10" spans="2:9" x14ac:dyDescent="0.3">
      <c r="B10" s="113" t="str">
        <f>IF(BILL!E30=5807,BILL!I30,"")</f>
        <v/>
      </c>
      <c r="C10" s="113"/>
      <c r="E10" s="113" t="str">
        <f>IF(BILL!E30=4821,BILL!I30,"")</f>
        <v/>
      </c>
      <c r="F10" s="113"/>
      <c r="H10" s="117">
        <f>IF(BILL!I34&gt;0,H7-H4,"")</f>
        <v>0</v>
      </c>
      <c r="I10" s="118"/>
    </row>
    <row r="11" spans="2:9" x14ac:dyDescent="0.3">
      <c r="B11" s="113" t="str">
        <f>IF(BILL!E31=5807,BILL!I31,"")</f>
        <v/>
      </c>
      <c r="C11" s="113"/>
      <c r="E11" s="113" t="str">
        <f>IF(BILL!E31=4821,BILL!I31,"")</f>
        <v/>
      </c>
      <c r="F11" s="113"/>
    </row>
    <row r="12" spans="2:9" x14ac:dyDescent="0.3">
      <c r="B12" s="113" t="str">
        <f>IF(BILL!E32=5807,BILL!I32,"")</f>
        <v/>
      </c>
      <c r="C12" s="113"/>
      <c r="E12" s="113" t="str">
        <f>IF(BILL!E32=4821,BILL!I32,"")</f>
        <v/>
      </c>
      <c r="F12" s="113"/>
    </row>
    <row r="13" spans="2:9" x14ac:dyDescent="0.3">
      <c r="B13" s="113" t="str">
        <f>IF(BILL!E33=5807,BILL!I33,"")</f>
        <v/>
      </c>
      <c r="C13" s="113"/>
      <c r="E13" s="113" t="str">
        <f>IF(BILL!E33=4821,BILL!I33,"")</f>
        <v/>
      </c>
      <c r="F13" s="113"/>
    </row>
    <row r="14" spans="2:9" x14ac:dyDescent="0.3">
      <c r="B14" s="114">
        <f>SUM(B5:C13)</f>
        <v>0</v>
      </c>
      <c r="C14" s="115"/>
      <c r="E14" s="114">
        <f>SUM(E5:F13)</f>
        <v>79500</v>
      </c>
      <c r="F14" s="115"/>
    </row>
  </sheetData>
  <mergeCells count="26">
    <mergeCell ref="E8:F8"/>
    <mergeCell ref="E9:F9"/>
    <mergeCell ref="E10:F10"/>
    <mergeCell ref="E11:F11"/>
    <mergeCell ref="B5:C5"/>
    <mergeCell ref="B6:C6"/>
    <mergeCell ref="B7:C7"/>
    <mergeCell ref="B8:C8"/>
    <mergeCell ref="B9:C9"/>
    <mergeCell ref="B10:C10"/>
    <mergeCell ref="E12:F12"/>
    <mergeCell ref="E13:F13"/>
    <mergeCell ref="B14:C14"/>
    <mergeCell ref="E14:F14"/>
    <mergeCell ref="H3:I3"/>
    <mergeCell ref="H4:I4"/>
    <mergeCell ref="H6:I6"/>
    <mergeCell ref="H7:I7"/>
    <mergeCell ref="H9:I9"/>
    <mergeCell ref="H10:I10"/>
    <mergeCell ref="B11:C11"/>
    <mergeCell ref="B12:C12"/>
    <mergeCell ref="B13:C13"/>
    <mergeCell ref="E5:F5"/>
    <mergeCell ref="E6:F6"/>
    <mergeCell ref="E7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BILL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 Arts</dc:creator>
  <cp:lastModifiedBy>Niyazalam Shaikh</cp:lastModifiedBy>
  <cp:lastPrinted>2025-02-11T11:00:47Z</cp:lastPrinted>
  <dcterms:created xsi:type="dcterms:W3CDTF">2015-06-05T18:17:20Z</dcterms:created>
  <dcterms:modified xsi:type="dcterms:W3CDTF">2026-03-03T01:51:51Z</dcterms:modified>
</cp:coreProperties>
</file>
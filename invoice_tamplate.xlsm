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canMyBill_IN\"/>
    </mc:Choice>
  </mc:AlternateContent>
  <xr:revisionPtr revIDLastSave="0" documentId="13_ncr:1_{AB5D8237-EF12-48A2-9F86-59BC194B0BBB}" xr6:coauthVersionLast="47" xr6:coauthVersionMax="47" xr10:uidLastSave="{00000000-0000-0000-0000-000000000000}"/>
  <bookViews>
    <workbookView xWindow="17325" yWindow="0" windowWidth="11580" windowHeight="15585" xr2:uid="{00000000-000D-0000-FFFF-FFFF00000000}"/>
  </bookViews>
  <sheets>
    <sheet name="BILL" sheetId="1" r:id="rId1"/>
    <sheet name="CLIENTS" sheetId="2" r:id="rId2"/>
    <sheet name="CALCULATION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7" i="1" l="1"/>
  <c r="A28" i="1"/>
  <c r="A29" i="1"/>
  <c r="A30" i="1"/>
  <c r="A31" i="1"/>
  <c r="A32" i="1"/>
  <c r="A33" i="1"/>
  <c r="A34" i="1"/>
  <c r="A35" i="1"/>
  <c r="A26" i="1"/>
  <c r="H25" i="1"/>
  <c r="U3" i="2"/>
  <c r="F39" i="1"/>
  <c r="B8" i="3"/>
  <c r="B10" i="3"/>
  <c r="B11" i="3"/>
  <c r="B12" i="3"/>
  <c r="B13" i="3"/>
  <c r="E9" i="3"/>
  <c r="I27" i="1"/>
  <c r="I28" i="1"/>
  <c r="I29" i="1"/>
  <c r="I30" i="1"/>
  <c r="I31" i="1"/>
  <c r="E11" i="3" s="1"/>
  <c r="I32" i="1"/>
  <c r="E12" i="3" s="1"/>
  <c r="I33" i="1"/>
  <c r="E13" i="3" s="1"/>
  <c r="I26" i="1"/>
  <c r="I25" i="1"/>
  <c r="H28" i="1"/>
  <c r="H29" i="1"/>
  <c r="H30" i="1"/>
  <c r="H31" i="1"/>
  <c r="H32" i="1"/>
  <c r="H33" i="1"/>
  <c r="I34" i="1" l="1"/>
  <c r="G2" i="1" s="1"/>
  <c r="E7" i="3"/>
  <c r="B7" i="3"/>
  <c r="B6" i="3"/>
  <c r="E6" i="3"/>
  <c r="E8" i="3"/>
  <c r="E10" i="3"/>
  <c r="B9" i="3"/>
  <c r="E5" i="3" l="1"/>
  <c r="E14" i="3" s="1"/>
  <c r="G45" i="1" s="1"/>
  <c r="B5" i="3"/>
  <c r="B14" i="3" s="1"/>
  <c r="H37" i="1" l="1"/>
  <c r="C44" i="1"/>
  <c r="E44" i="1"/>
  <c r="A44" i="1"/>
  <c r="G44" i="1"/>
  <c r="H36" i="1"/>
  <c r="C45" i="1"/>
  <c r="A45" i="1"/>
  <c r="E45" i="1"/>
  <c r="F45" i="1" l="1"/>
  <c r="H45" i="1"/>
  <c r="C46" i="1"/>
  <c r="F44" i="1"/>
  <c r="H44" i="1"/>
  <c r="H46" i="1" l="1"/>
  <c r="I37" i="1" s="1"/>
  <c r="I45" i="1"/>
  <c r="F46" i="1"/>
  <c r="I36" i="1" s="1"/>
  <c r="I44" i="1"/>
  <c r="I46" i="1" l="1"/>
  <c r="H4" i="3"/>
  <c r="H7" i="3" s="1"/>
  <c r="H10" i="3" s="1"/>
  <c r="I38" i="1" s="1"/>
  <c r="I39" i="1" s="1"/>
  <c r="E47" i="1" a="1"/>
  <c r="B41" i="1" a="1"/>
  <c r="E47" i="1" l="1"/>
  <c r="B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<sst xmlns="http://schemas.openxmlformats.org/spreadsheetml/2006/main" count="94" uniqueCount="72">
  <si>
    <t>Invoice No.</t>
  </si>
  <si>
    <t>Dated</t>
  </si>
  <si>
    <t>Deliver Note</t>
  </si>
  <si>
    <t>Reference No. &amp; Date.</t>
  </si>
  <si>
    <t>Buyer’s Order No.</t>
  </si>
  <si>
    <t>Dispatch Doc No</t>
  </si>
  <si>
    <t>Dispatched through</t>
  </si>
  <si>
    <t>Terms of Delivery</t>
  </si>
  <si>
    <t>Mode/Terms of payment</t>
  </si>
  <si>
    <t>Other References</t>
  </si>
  <si>
    <t>Delivery Note Date</t>
  </si>
  <si>
    <t>Destination</t>
  </si>
  <si>
    <t>Customer’s Seal and Signature</t>
  </si>
  <si>
    <t>Authorised Signatory</t>
  </si>
  <si>
    <t>Tax Amount (in words):</t>
  </si>
  <si>
    <t>SI No.</t>
  </si>
  <si>
    <t>HSN/SAC</t>
  </si>
  <si>
    <t>Taxable</t>
  </si>
  <si>
    <t>Value</t>
  </si>
  <si>
    <t>Rate</t>
  </si>
  <si>
    <t>Total Tax</t>
  </si>
  <si>
    <t>Amount</t>
  </si>
  <si>
    <t>CGST</t>
  </si>
  <si>
    <t>SGCT/UTGST</t>
  </si>
  <si>
    <t>Description of Goods</t>
  </si>
  <si>
    <t>Quantity</t>
  </si>
  <si>
    <t>per</t>
  </si>
  <si>
    <t>Amount Chargeable (in words)</t>
  </si>
  <si>
    <t>INR</t>
  </si>
  <si>
    <t>SGST</t>
  </si>
  <si>
    <t>ROUND OFF</t>
  </si>
  <si>
    <t xml:space="preserve">HSN: </t>
  </si>
  <si>
    <t>FOR</t>
  </si>
  <si>
    <t>LABEL</t>
  </si>
  <si>
    <t>TAG</t>
  </si>
  <si>
    <t>Total</t>
  </si>
  <si>
    <t>Amount + GST</t>
  </si>
  <si>
    <t>Round off</t>
  </si>
  <si>
    <t>Difference</t>
  </si>
  <si>
    <t>TOTAL</t>
  </si>
  <si>
    <t>Clients:</t>
  </si>
  <si>
    <t>SUNDARAM CLOTHING</t>
  </si>
  <si>
    <t>SHRIYA GARMENTS</t>
  </si>
  <si>
    <t xml:space="preserve">SAIRAJ GARMENT </t>
  </si>
  <si>
    <t xml:space="preserve">N.I GARMENTS  </t>
  </si>
  <si>
    <t>A-9 GARMENT</t>
  </si>
  <si>
    <t>E. &amp; O.E</t>
  </si>
  <si>
    <t>Date:</t>
  </si>
  <si>
    <t>2025-26/021</t>
  </si>
  <si>
    <r>
      <rPr>
        <b/>
        <sz val="11"/>
        <color theme="1"/>
        <rFont val="Calibri"/>
        <family val="2"/>
        <scheme val="minor"/>
      </rPr>
      <t>MD ART</t>
    </r>
    <r>
      <rPr>
        <sz val="11"/>
        <color theme="1"/>
        <rFont val="Calibri"/>
        <family val="2"/>
        <scheme val="minor"/>
      </rPr>
      <t xml:space="preserve">
GALA AT OPPOSITE, BRK NO. 1861,
GANESH NAGAR, ULHASNAGAR, ULHASNAGAR,
KALYAN, THANE, MAHARASHTRA, 421005
GSTIN/UIN: 	27DBAPS8466N1ZR
State Name: 	Maharashtra, Code: 27
E-Mail: 	mdart7777@gmail.com</t>
    </r>
  </si>
  <si>
    <t>Consignee (Ship to)</t>
  </si>
  <si>
    <t>MAA CLOTHING CO</t>
  </si>
  <si>
    <t>Gala No. 2,3,4, A-wing, Damodar Bhavan, Near J.H. Poddar School, Shiv Sena Galli, Bhayandar (West), Thane - 401 101
GSTIN/UIN: 	27DBAPS8466N1ZR
State Name: 	Maharashtra, Code: 27
E-Mail: 	mdart7777@gmail.com</t>
  </si>
  <si>
    <t xml:space="preserve">GSTIN/UIN: </t>
  </si>
  <si>
    <t xml:space="preserve">	27DBAPS8466N1ZR</t>
  </si>
  <si>
    <t xml:space="preserve">State Name: </t>
  </si>
  <si>
    <t xml:space="preserve">E-Mail: 	</t>
  </si>
  <si>
    <t>mdart7777@gmail.com</t>
  </si>
  <si>
    <t>27CDCPS1574E1ZI</t>
  </si>
  <si>
    <t>Maharashtra, Code: 27</t>
  </si>
  <si>
    <t xml:space="preserve">Place of Supply	: </t>
  </si>
  <si>
    <t>Maharashtra</t>
  </si>
  <si>
    <t>Company’s Bank Details</t>
  </si>
  <si>
    <t>HDFC A/C</t>
  </si>
  <si>
    <t>99999766663044</t>
  </si>
  <si>
    <t xml:space="preserve">Branch &amp; IFS Code    :  </t>
  </si>
  <si>
    <t>ULHASNAGAR-4 &amp; HDFC0001805</t>
  </si>
  <si>
    <t>A/c No. 	        :</t>
  </si>
  <si>
    <t>Bank Name 	        :</t>
  </si>
  <si>
    <t>MD ART</t>
  </si>
  <si>
    <t xml:space="preserve">for </t>
  </si>
  <si>
    <t>GALA AT OPPOSITE, BRK NO. 1861,
GANESH NAGAR, ULHASNAGAR, ULHASNAGAR,
KALYAN, THANE, MAHARASHTRA, 421005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</si>
</sst>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#,##0\ &quot;pcs&quot;"/>
    <numFmt numFmtId="165" formatCode="_ [$₹-439]* #,##0.00_ ;_ [$₹-439]* \-#,##0.00_ ;_ [$₹-439]* &quot;-&quot;??_ ;_ @_ "/>
    <numFmt numFmtId="166" formatCode="[$-409]dd\-mmm\-yy;@"/>
    <numFmt numFmtId="167" formatCode="[$-409]d\-mmm\-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8">
    <xf numFmtId="0" fontId="0" fillId="0" borderId="0" xfId="0"/>
    <xf numFmtId="0" fontId="0" fillId="2" borderId="0" xfId="0" applyFill="1"/>
    <xf numFmtId="0" fontId="0" fillId="0" borderId="2" xfId="0" applyBorder="1" applyAlignment="1">
      <alignment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7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3" xfId="0" applyFont="1" applyBorder="1" applyAlignment="1">
      <alignment vertical="center"/>
    </xf>
    <xf numFmtId="0" fontId="2" fillId="0" borderId="13" xfId="0" applyFont="1" applyBorder="1" applyAlignment="1">
      <alignment horizontal="center" vertical="center"/>
    </xf>
    <xf numFmtId="164" fontId="2" fillId="0" borderId="13" xfId="1" applyNumberFormat="1" applyFont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Alignment="1">
      <alignment horizontal="left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3" fontId="0" fillId="0" borderId="1" xfId="1" applyFont="1" applyBorder="1" applyAlignment="1">
      <alignment vertical="center"/>
    </xf>
    <xf numFmtId="43" fontId="2" fillId="0" borderId="1" xfId="0" applyNumberFormat="1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2" fillId="0" borderId="8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vertical="center"/>
    </xf>
    <xf numFmtId="167" fontId="2" fillId="0" borderId="7" xfId="0" applyNumberFormat="1" applyFont="1" applyBorder="1" applyAlignment="1">
      <alignment horizontal="left" vertical="center"/>
    </xf>
    <xf numFmtId="167" fontId="2" fillId="0" borderId="0" xfId="0" applyNumberFormat="1" applyFont="1" applyAlignment="1">
      <alignment vertical="center"/>
    </xf>
    <xf numFmtId="2" fontId="0" fillId="0" borderId="13" xfId="0" applyNumberFormat="1" applyBorder="1" applyAlignment="1">
      <alignment horizontal="right" vertical="center"/>
    </xf>
    <xf numFmtId="0" fontId="0" fillId="4" borderId="0" xfId="0" applyFill="1"/>
    <xf numFmtId="167" fontId="0" fillId="0" borderId="0" xfId="0" applyNumberFormat="1" applyAlignment="1">
      <alignment horizontal="left"/>
    </xf>
    <xf numFmtId="166" fontId="0" fillId="0" borderId="0" xfId="0" applyNumberFormat="1"/>
    <xf numFmtId="0" fontId="0" fillId="0" borderId="17" xfId="0" applyBorder="1"/>
    <xf numFmtId="0" fontId="0" fillId="0" borderId="18" xfId="0" applyBorder="1"/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4" xfId="1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43" fontId="2" fillId="0" borderId="6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3" fontId="2" fillId="0" borderId="5" xfId="0" applyNumberFormat="1" applyFont="1" applyBorder="1" applyAlignment="1">
      <alignment horizontal="center" vertical="center"/>
    </xf>
    <xf numFmtId="43" fontId="2" fillId="0" borderId="7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5" fontId="2" fillId="0" borderId="10" xfId="0" applyNumberFormat="1" applyFont="1" applyBorder="1" applyAlignment="1">
      <alignment horizontal="center" vertical="center"/>
    </xf>
    <xf numFmtId="165" fontId="2" fillId="0" borderId="12" xfId="0" applyNumberFormat="1" applyFont="1" applyBorder="1" applyAlignment="1">
      <alignment horizontal="center" vertical="center"/>
    </xf>
    <xf numFmtId="43" fontId="2" fillId="0" borderId="10" xfId="0" applyNumberFormat="1" applyFont="1" applyBorder="1" applyAlignment="1">
      <alignment horizontal="center" vertical="center"/>
    </xf>
    <xf numFmtId="43" fontId="2" fillId="0" borderId="12" xfId="0" applyNumberFormat="1" applyFont="1" applyBorder="1" applyAlignment="1">
      <alignment horizontal="center" vertical="center"/>
    </xf>
    <xf numFmtId="43" fontId="0" fillId="0" borderId="10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0" borderId="12" xfId="0" applyFon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0" fillId="3" borderId="0" xfId="0" applyFill="1" applyAlignment="1">
      <alignment horizontal="center" vertical="center"/>
    </xf>
    <xf numFmtId="166" fontId="2" fillId="3" borderId="14" xfId="0" applyNumberFormat="1" applyFont="1" applyFill="1" applyBorder="1" applyAlignment="1">
      <alignment horizontal="left"/>
    </xf>
    <xf numFmtId="166" fontId="2" fillId="3" borderId="15" xfId="0" applyNumberFormat="1" applyFont="1" applyFill="1" applyBorder="1" applyAlignment="1">
      <alignment horizontal="left"/>
    </xf>
    <xf numFmtId="166" fontId="2" fillId="3" borderId="16" xfId="0" applyNumberFormat="1" applyFont="1" applyFill="1" applyBorder="1" applyAlignment="1">
      <alignment horizontal="left"/>
    </xf>
    <xf numFmtId="166" fontId="0" fillId="0" borderId="17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43" fontId="0" fillId="0" borderId="1" xfId="1" applyFont="1" applyBorder="1" applyAlignment="1">
      <alignment horizontal="center"/>
    </xf>
    <xf numFmtId="43" fontId="0" fillId="2" borderId="3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6" fillId="0" borderId="5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center"/>
    </xf>
    <xf numFmtId="0" fontId="7" fillId="0" borderId="8" xfId="0" applyFont="1" applyBorder="1" applyAlignment="1">
      <alignment horizontal="right" vertical="top"/>
    </xf>
    <xf numFmtId="0" fontId="8" fillId="0" borderId="0" xfId="0" applyFont="1" applyAlignment="1">
      <alignment horizontal="left" vertical="top"/>
    </xf>
    <xf numFmtId="0" fontId="8" fillId="0" borderId="6" xfId="0" applyFont="1" applyBorder="1" applyAlignment="1">
      <alignment horizontal="left" vertical="top"/>
    </xf>
    <xf numFmtId="0" fontId="7" fillId="0" borderId="0" xfId="0" applyFont="1" applyAlignment="1">
      <alignment horizontal="right" vertical="top"/>
    </xf>
    <xf numFmtId="49" fontId="8" fillId="0" borderId="0" xfId="0" applyNumberFormat="1" applyFont="1" applyAlignment="1">
      <alignment horizontal="left" vertical="top"/>
    </xf>
    <xf numFmtId="49" fontId="8" fillId="0" borderId="6" xfId="0" applyNumberFormat="1" applyFont="1" applyBorder="1" applyAlignment="1">
      <alignment horizontal="left" vertical="top"/>
    </xf>
    <xf numFmtId="0" fontId="8" fillId="0" borderId="8" xfId="0" applyFont="1" applyBorder="1" applyAlignment="1">
      <alignment horizontal="left" vertical="top"/>
    </xf>
    <xf numFmtId="0" fontId="8" fillId="0" borderId="9" xfId="0" applyFont="1" applyBorder="1" applyAlignment="1">
      <alignment horizontal="left" vertical="top"/>
    </xf>
    <xf numFmtId="0" fontId="0" fillId="0" borderId="4" xfId="0" applyBorder="1" applyAlignment="1">
      <alignment horizontal="left" vertical="center"/>
    </xf>
    <xf numFmtId="0" fontId="0" fillId="0" borderId="3" xfId="0" applyBorder="1" applyAlignment="1">
      <alignment horizontal="righ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6705600" cy="1904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DAB2CE-5DCE-41F4-B4DC-4113B8EEB4CD}"/>
            </a:ext>
          </a:extLst>
        </xdr:cNvPr>
        <xdr:cNvSpPr txBox="1"/>
      </xdr:nvSpPr>
      <xdr:spPr>
        <a:xfrm>
          <a:off x="0" y="1"/>
          <a:ext cx="6705600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400" b="1"/>
            <a:t>TAX INVOICE</a:t>
          </a:r>
        </a:p>
      </xdr:txBody>
    </xdr:sp>
    <xdr:clientData/>
  </xdr:oneCellAnchor>
  <xdr:oneCellAnchor>
    <xdr:from>
      <xdr:col>0</xdr:col>
      <xdr:colOff>0</xdr:colOff>
      <xdr:row>55</xdr:row>
      <xdr:rowOff>0</xdr:rowOff>
    </xdr:from>
    <xdr:ext cx="6705600" cy="19049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40A90936-6FA9-492C-9B7F-0A1AFA283FB9}"/>
            </a:ext>
          </a:extLst>
        </xdr:cNvPr>
        <xdr:cNvSpPr txBox="1"/>
      </xdr:nvSpPr>
      <xdr:spPr>
        <a:xfrm>
          <a:off x="0" y="10477500"/>
          <a:ext cx="6705600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 b="0" baseline="0">
              <a:latin typeface="+mn-lt"/>
            </a:rPr>
            <a:t>This is a Computer Generated Invoice</a:t>
          </a:r>
          <a:endParaRPr lang="en-US" sz="1100" b="0">
            <a:latin typeface="+mn-lt"/>
          </a:endParaRPr>
        </a:p>
      </xdr:txBody>
    </xdr:sp>
    <xdr:clientData/>
  </xdr:oneCellAnchor>
  <xdr:oneCellAnchor>
    <xdr:from>
      <xdr:col>0</xdr:col>
      <xdr:colOff>1</xdr:colOff>
      <xdr:row>47</xdr:row>
      <xdr:rowOff>0</xdr:rowOff>
    </xdr:from>
    <xdr:ext cx="3048000" cy="77856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107ABD-7658-42C6-8B21-6751F5BFBE49}"/>
            </a:ext>
          </a:extLst>
        </xdr:cNvPr>
        <xdr:cNvSpPr txBox="1"/>
      </xdr:nvSpPr>
      <xdr:spPr>
        <a:xfrm>
          <a:off x="1" y="8953500"/>
          <a:ext cx="3048000" cy="77856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Declaration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We declare that this invoice shows the actual price of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goods described and that all particulars are true</a:t>
          </a:r>
        </a:p>
        <a:p>
          <a:r>
            <a:rPr lang="en-US" sz="1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correct.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6</xdr:row>
      <xdr:rowOff>8282</xdr:rowOff>
    </xdr:from>
    <xdr:ext cx="3048000" cy="132521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F56BAB-B433-4600-B3EE-9050445806B5}"/>
            </a:ext>
          </a:extLst>
        </xdr:cNvPr>
        <xdr:cNvSpPr txBox="1"/>
      </xdr:nvSpPr>
      <xdr:spPr>
        <a:xfrm>
          <a:off x="4267200" y="1151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Consignee (Ship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SHRIYA GARMENTS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Ground Floor, Shop No. 1, Sai Parmanand 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Complex, Opp. Brk No. 2028, Ulhasnagar, Thane, Maharashtra, 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27AJBPR8307D1ZA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 sz="1100"/>
        </a:p>
      </xdr:txBody>
    </xdr:sp>
    <xdr:clientData/>
  </xdr:oneCellAnchor>
  <xdr:oneCellAnchor>
    <xdr:from>
      <xdr:col>7</xdr:col>
      <xdr:colOff>1</xdr:colOff>
      <xdr:row>14</xdr:row>
      <xdr:rowOff>0</xdr:rowOff>
    </xdr:from>
    <xdr:ext cx="3048000" cy="15240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97D28CB-7E05-4B01-B4CF-4896A0FDE6AA}"/>
            </a:ext>
          </a:extLst>
        </xdr:cNvPr>
        <xdr:cNvSpPr txBox="1"/>
      </xdr:nvSpPr>
      <xdr:spPr>
        <a:xfrm>
          <a:off x="4267201" y="26670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Buyer (Bill to)</a:t>
          </a:r>
          <a:endParaRPr lang="en-US">
            <a:effectLst/>
          </a:endParaRP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SHRIYA GARMENTS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Ground Floor, Shop No. 1, Sai Parmanand 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Complex, Opp. Brk No. 2028, Ulhasnagar, Thane, Maharashtra, 421005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27AJBPR8307D1ZA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of Supply	: Maharashtra</a:t>
          </a:r>
          <a:endParaRPr lang="en-US">
            <a:effectLst/>
          </a:endParaRPr>
        </a:p>
      </xdr:txBody>
    </xdr:sp>
    <xdr:clientData/>
  </xdr:oneCellAnchor>
  <xdr:oneCellAnchor>
    <xdr:from>
      <xdr:col>1</xdr:col>
      <xdr:colOff>1</xdr:colOff>
      <xdr:row>6</xdr:row>
      <xdr:rowOff>8282</xdr:rowOff>
    </xdr:from>
    <xdr:ext cx="3048000" cy="1325218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8E88D72-57A0-4A45-BD29-F02F5F306BD2}"/>
            </a:ext>
          </a:extLst>
        </xdr:cNvPr>
        <xdr:cNvSpPr txBox="1"/>
      </xdr:nvSpPr>
      <xdr:spPr>
        <a:xfrm>
          <a:off x="609601" y="1151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Consignee (Ship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SUNDARAM CLOTHING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Shop.No.6 Tirath, Opp. Lal Chakki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Prabharam Mandir Road Ulhasnagar-5,         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Thane, Maharashtra, 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27AAXPG6135B1ZO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 sz="1100"/>
        </a:p>
      </xdr:txBody>
    </xdr:sp>
    <xdr:clientData/>
  </xdr:oneCellAnchor>
  <xdr:oneCellAnchor>
    <xdr:from>
      <xdr:col>0</xdr:col>
      <xdr:colOff>593035</xdr:colOff>
      <xdr:row>14</xdr:row>
      <xdr:rowOff>0</xdr:rowOff>
    </xdr:from>
    <xdr:ext cx="3064565" cy="15240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E85DA43-3F97-4AB0-81EF-E7A20066A92C}"/>
            </a:ext>
          </a:extLst>
        </xdr:cNvPr>
        <xdr:cNvSpPr txBox="1"/>
      </xdr:nvSpPr>
      <xdr:spPr>
        <a:xfrm>
          <a:off x="593035" y="2667000"/>
          <a:ext cx="3064565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Buyer (Bill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SUNDARAM CLOTHING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Shop.No.6 Tirath, Opp. Lal Chakki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Prabharam Mandir Road Ulhasnagar-5,         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Thane, Maharashtra, 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27AAXPG6135B1ZO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of Supply	: Maharashtra</a:t>
          </a:r>
          <a:endParaRPr lang="en-US" sz="1100"/>
        </a:p>
      </xdr:txBody>
    </xdr:sp>
    <xdr:clientData/>
  </xdr:oneCellAnchor>
  <xdr:oneCellAnchor>
    <xdr:from>
      <xdr:col>13</xdr:col>
      <xdr:colOff>0</xdr:colOff>
      <xdr:row>6</xdr:row>
      <xdr:rowOff>8282</xdr:rowOff>
    </xdr:from>
    <xdr:ext cx="3048000" cy="1325218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634D883-E69B-4480-B7AF-D2266D08016B}"/>
            </a:ext>
          </a:extLst>
        </xdr:cNvPr>
        <xdr:cNvSpPr txBox="1"/>
      </xdr:nvSpPr>
      <xdr:spPr>
        <a:xfrm>
          <a:off x="7924800" y="1151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Consignee (Ship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SAIRAJ GARMENT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 No-2 Bk No- 1847/10 Opp. Konark Bank,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Nr Sai Bada Mandir, Section-39 Ulhasnagar-421005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27AEOPD3328N1Z6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 sz="1100"/>
        </a:p>
      </xdr:txBody>
    </xdr:sp>
    <xdr:clientData/>
  </xdr:oneCellAnchor>
  <xdr:oneCellAnchor>
    <xdr:from>
      <xdr:col>13</xdr:col>
      <xdr:colOff>1</xdr:colOff>
      <xdr:row>14</xdr:row>
      <xdr:rowOff>0</xdr:rowOff>
    </xdr:from>
    <xdr:ext cx="3048000" cy="1524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3490136-8E6B-44CA-BF53-AC43A9B2093F}"/>
            </a:ext>
          </a:extLst>
        </xdr:cNvPr>
        <xdr:cNvSpPr txBox="1"/>
      </xdr:nvSpPr>
      <xdr:spPr>
        <a:xfrm>
          <a:off x="7924801" y="26670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Buyer (Bill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SAIRAJ GARMENT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 No-2 Bk No- 1847/10 Opp. Konark Bank,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Nr Sai Bada Mandir, Section-39 Ulhasnagar-421005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27AEOPD3328N1Z6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of Supply	: Maharashtra</a:t>
          </a:r>
          <a:endParaRPr lang="en-US">
            <a:effectLst/>
          </a:endParaRPr>
        </a:p>
      </xdr:txBody>
    </xdr:sp>
    <xdr:clientData/>
  </xdr:oneCellAnchor>
  <xdr:oneCellAnchor>
    <xdr:from>
      <xdr:col>1</xdr:col>
      <xdr:colOff>0</xdr:colOff>
      <xdr:row>25</xdr:row>
      <xdr:rowOff>8282</xdr:rowOff>
    </xdr:from>
    <xdr:ext cx="3657600" cy="132521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2BFEF03-7425-40ED-9752-274CDF87EC1E}"/>
            </a:ext>
          </a:extLst>
        </xdr:cNvPr>
        <xdr:cNvSpPr txBox="1"/>
      </xdr:nvSpPr>
      <xdr:spPr>
        <a:xfrm>
          <a:off x="609600" y="4770782"/>
          <a:ext cx="36576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Consignee (Ship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N.I GARMENTS 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HOUSE NO.2660.GALA NO.105.FIRST FLOOR,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ZAMEELA COMPLEX NEAR GALAXY TALKIES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OPP.ST.STAND,NAIGAON ROAD BHIWANDI 421302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27ACZPA1112C1Z3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 sz="1100"/>
        </a:p>
      </xdr:txBody>
    </xdr:sp>
    <xdr:clientData/>
  </xdr:oneCellAnchor>
  <xdr:oneCellAnchor>
    <xdr:from>
      <xdr:col>1</xdr:col>
      <xdr:colOff>0</xdr:colOff>
      <xdr:row>33</xdr:row>
      <xdr:rowOff>0</xdr:rowOff>
    </xdr:from>
    <xdr:ext cx="3657599" cy="1524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102F075-B9BF-42F9-8CD2-8F085FE3B2F5}"/>
            </a:ext>
          </a:extLst>
        </xdr:cNvPr>
        <xdr:cNvSpPr txBox="1"/>
      </xdr:nvSpPr>
      <xdr:spPr>
        <a:xfrm>
          <a:off x="609600" y="6286500"/>
          <a:ext cx="3657599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Buyer (Bill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N.I GARMENTS 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HOUSE NO.2660.GALA NO.105.FIRST FLOOR,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ZAMEELA COMPLEX NEAR GALAXY TALKIES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OPP.ST.STAND,NAIGAON ROAD BHIWANDI 421302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27ACZPA1112C1Z3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of Supply	: Maharashtra</a:t>
          </a:r>
          <a:endParaRPr lang="en-US">
            <a:effectLst/>
          </a:endParaRPr>
        </a:p>
        <a:p>
          <a:endParaRPr lang="en-US">
            <a:effectLst/>
          </a:endParaRPr>
        </a:p>
      </xdr:txBody>
    </xdr:sp>
    <xdr:clientData/>
  </xdr:oneCellAnchor>
  <xdr:oneCellAnchor>
    <xdr:from>
      <xdr:col>7</xdr:col>
      <xdr:colOff>0</xdr:colOff>
      <xdr:row>25</xdr:row>
      <xdr:rowOff>8282</xdr:rowOff>
    </xdr:from>
    <xdr:ext cx="3048000" cy="1325218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1569C84-EEF9-4CA2-85A6-B5A0E7B97469}"/>
            </a:ext>
          </a:extLst>
        </xdr:cNvPr>
        <xdr:cNvSpPr txBox="1"/>
      </xdr:nvSpPr>
      <xdr:spPr>
        <a:xfrm>
          <a:off x="4267200" y="47707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Consignee (Ship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A-9 GARMENT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 NO 1 JAI GAJANAND COMPLEX,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NEAR OLD PETROL PUMP  Ulhasnagar-5,         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Thane, Maharashtra, 421005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27APEPA8407J1ZY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  <a:endParaRPr lang="en-US" sz="1100"/>
        </a:p>
      </xdr:txBody>
    </xdr:sp>
    <xdr:clientData/>
  </xdr:oneCellAnchor>
  <xdr:oneCellAnchor>
    <xdr:from>
      <xdr:col>7</xdr:col>
      <xdr:colOff>1</xdr:colOff>
      <xdr:row>33</xdr:row>
      <xdr:rowOff>0</xdr:rowOff>
    </xdr:from>
    <xdr:ext cx="3048000" cy="1524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71FE311-ACB6-42BF-99D3-B1B199E33471}"/>
            </a:ext>
          </a:extLst>
        </xdr:cNvPr>
        <xdr:cNvSpPr txBox="1"/>
      </xdr:nvSpPr>
      <xdr:spPr>
        <a:xfrm>
          <a:off x="4267201" y="62865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Buyer (Bill to)</a:t>
          </a: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A-9 GARMENT  </a:t>
          </a:r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SHOP NO 1 JAI GAJANAND COMPLEX,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NEAR OLD PETROL PUMP  Ulhasnagar-5,         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Thane, Maharashtra, 421005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GSTIN/UIN	: 27APEPA8407J1ZY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State Name	: Maharashtra, Code: 27</a:t>
          </a: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Place of Supply	: Maharashtra</a:t>
          </a:r>
          <a:endParaRPr lang="en-US">
            <a:effectLst/>
          </a:endParaRPr>
        </a:p>
      </xdr:txBody>
    </xdr:sp>
    <xdr:clientData/>
  </xdr:oneCellAnchor>
  <xdr:oneCellAnchor>
    <xdr:from>
      <xdr:col>13</xdr:col>
      <xdr:colOff>0</xdr:colOff>
      <xdr:row>25</xdr:row>
      <xdr:rowOff>8282</xdr:rowOff>
    </xdr:from>
    <xdr:ext cx="3048000" cy="1325218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C032493-F714-4F59-BD16-3E7BCA62C416}"/>
            </a:ext>
          </a:extLst>
        </xdr:cNvPr>
        <xdr:cNvSpPr txBox="1"/>
      </xdr:nvSpPr>
      <xdr:spPr>
        <a:xfrm>
          <a:off x="7924800" y="47707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</xdr:colOff>
      <xdr:row>33</xdr:row>
      <xdr:rowOff>0</xdr:rowOff>
    </xdr:from>
    <xdr:ext cx="3048000" cy="152400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67DED75E-C901-46E9-98EF-EA71CD763B31}"/>
            </a:ext>
          </a:extLst>
        </xdr:cNvPr>
        <xdr:cNvSpPr txBox="1"/>
      </xdr:nvSpPr>
      <xdr:spPr>
        <a:xfrm>
          <a:off x="7924801" y="62865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1</xdr:col>
      <xdr:colOff>0</xdr:colOff>
      <xdr:row>44</xdr:row>
      <xdr:rowOff>8282</xdr:rowOff>
    </xdr:from>
    <xdr:ext cx="3048000" cy="132521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6EB81760-5F4D-4B80-858E-70B5EC7A3325}"/>
            </a:ext>
          </a:extLst>
        </xdr:cNvPr>
        <xdr:cNvSpPr txBox="1"/>
      </xdr:nvSpPr>
      <xdr:spPr>
        <a:xfrm>
          <a:off x="609600" y="8390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1</xdr:colOff>
      <xdr:row>52</xdr:row>
      <xdr:rowOff>0</xdr:rowOff>
    </xdr:from>
    <xdr:ext cx="3048000" cy="1524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4ACF262B-02CE-41FD-A17B-EC7E0C11F0E2}"/>
            </a:ext>
          </a:extLst>
        </xdr:cNvPr>
        <xdr:cNvSpPr txBox="1"/>
      </xdr:nvSpPr>
      <xdr:spPr>
        <a:xfrm>
          <a:off x="609601" y="99060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7</xdr:col>
      <xdr:colOff>0</xdr:colOff>
      <xdr:row>44</xdr:row>
      <xdr:rowOff>8282</xdr:rowOff>
    </xdr:from>
    <xdr:ext cx="3048000" cy="132521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91DFC5B-0CED-441A-86D5-E38940A5B9F8}"/>
            </a:ext>
          </a:extLst>
        </xdr:cNvPr>
        <xdr:cNvSpPr txBox="1"/>
      </xdr:nvSpPr>
      <xdr:spPr>
        <a:xfrm>
          <a:off x="4267200" y="8390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</xdr:colOff>
      <xdr:row>52</xdr:row>
      <xdr:rowOff>0</xdr:rowOff>
    </xdr:from>
    <xdr:ext cx="3048000" cy="1524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097EC85-67E5-4F94-83B9-1A3AA46847B9}"/>
            </a:ext>
          </a:extLst>
        </xdr:cNvPr>
        <xdr:cNvSpPr txBox="1"/>
      </xdr:nvSpPr>
      <xdr:spPr>
        <a:xfrm>
          <a:off x="4267201" y="99060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13</xdr:col>
      <xdr:colOff>0</xdr:colOff>
      <xdr:row>44</xdr:row>
      <xdr:rowOff>8282</xdr:rowOff>
    </xdr:from>
    <xdr:ext cx="3048000" cy="1325218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5D8617EA-4238-45FD-A949-0F6569B02299}"/>
            </a:ext>
          </a:extLst>
        </xdr:cNvPr>
        <xdr:cNvSpPr txBox="1"/>
      </xdr:nvSpPr>
      <xdr:spPr>
        <a:xfrm>
          <a:off x="7924800" y="83902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</xdr:colOff>
      <xdr:row>52</xdr:row>
      <xdr:rowOff>0</xdr:rowOff>
    </xdr:from>
    <xdr:ext cx="3048000" cy="152400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EFEE2FC-D487-43E3-97A1-6F078AA0F038}"/>
            </a:ext>
          </a:extLst>
        </xdr:cNvPr>
        <xdr:cNvSpPr txBox="1"/>
      </xdr:nvSpPr>
      <xdr:spPr>
        <a:xfrm>
          <a:off x="7924801" y="99060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1</xdr:col>
      <xdr:colOff>0</xdr:colOff>
      <xdr:row>63</xdr:row>
      <xdr:rowOff>8282</xdr:rowOff>
    </xdr:from>
    <xdr:ext cx="3048000" cy="132521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41068E1-73DC-4E92-9D84-2589116F9B5D}"/>
            </a:ext>
          </a:extLst>
        </xdr:cNvPr>
        <xdr:cNvSpPr txBox="1"/>
      </xdr:nvSpPr>
      <xdr:spPr>
        <a:xfrm>
          <a:off x="609600" y="120097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1</xdr:colOff>
      <xdr:row>71</xdr:row>
      <xdr:rowOff>0</xdr:rowOff>
    </xdr:from>
    <xdr:ext cx="3048000" cy="1524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DCAF5871-81BA-408A-8855-59EA042379AE}"/>
            </a:ext>
          </a:extLst>
        </xdr:cNvPr>
        <xdr:cNvSpPr txBox="1"/>
      </xdr:nvSpPr>
      <xdr:spPr>
        <a:xfrm>
          <a:off x="609601" y="135255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7</xdr:col>
      <xdr:colOff>0</xdr:colOff>
      <xdr:row>63</xdr:row>
      <xdr:rowOff>8282</xdr:rowOff>
    </xdr:from>
    <xdr:ext cx="3048000" cy="1325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1C5916A-7861-425E-B44B-026F75236C8D}"/>
            </a:ext>
          </a:extLst>
        </xdr:cNvPr>
        <xdr:cNvSpPr txBox="1"/>
      </xdr:nvSpPr>
      <xdr:spPr>
        <a:xfrm>
          <a:off x="4267200" y="120097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</xdr:colOff>
      <xdr:row>71</xdr:row>
      <xdr:rowOff>0</xdr:rowOff>
    </xdr:from>
    <xdr:ext cx="3048000" cy="1524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E2F76953-508E-4EAD-9F71-BCBB4CBFDEA3}"/>
            </a:ext>
          </a:extLst>
        </xdr:cNvPr>
        <xdr:cNvSpPr txBox="1"/>
      </xdr:nvSpPr>
      <xdr:spPr>
        <a:xfrm>
          <a:off x="4267201" y="135255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  <xdr:oneCellAnchor>
    <xdr:from>
      <xdr:col>13</xdr:col>
      <xdr:colOff>0</xdr:colOff>
      <xdr:row>63</xdr:row>
      <xdr:rowOff>8282</xdr:rowOff>
    </xdr:from>
    <xdr:ext cx="3048000" cy="1325218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3F79A07E-979F-4E6C-AABE-2E6C4C837A33}"/>
            </a:ext>
          </a:extLst>
        </xdr:cNvPr>
        <xdr:cNvSpPr txBox="1"/>
      </xdr:nvSpPr>
      <xdr:spPr>
        <a:xfrm>
          <a:off x="7924800" y="12009782"/>
          <a:ext cx="3048000" cy="1325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</xdr:colOff>
      <xdr:row>71</xdr:row>
      <xdr:rowOff>0</xdr:rowOff>
    </xdr:from>
    <xdr:ext cx="3048000" cy="1524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70AC3FFC-5ACD-4AD6-92B3-CA7F48E9E0EC}"/>
            </a:ext>
          </a:extLst>
        </xdr:cNvPr>
        <xdr:cNvSpPr txBox="1"/>
      </xdr:nvSpPr>
      <xdr:spPr>
        <a:xfrm>
          <a:off x="7924801" y="13525500"/>
          <a:ext cx="3048000" cy="1524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L55"/>
  <sheetViews>
    <sheetView showGridLines="0" tabSelected="1" zoomScale="115" zoomScaleNormal="115" workbookViewId="0">
      <selection activeCell="C7" sqref="C7:E7"/>
    </sheetView>
  </sheetViews>
  <sheetFormatPr defaultColWidth="9.109375" defaultRowHeight="14.4" x14ac:dyDescent="0.3"/>
  <cols>
    <col min="1" max="1" width="6.109375" style="3" customWidth="1"/>
    <col min="2" max="5" width="9.109375" style="3"/>
    <col min="6" max="6" width="14.88671875" style="3" customWidth="1"/>
    <col min="7" max="7" width="9.109375" style="3"/>
    <col min="8" max="8" width="14.88671875" style="3" customWidth="1"/>
    <col min="9" max="11" width="9.109375" style="3"/>
    <col min="12" max="12" width="9.6640625" style="3" bestFit="1" customWidth="1"/>
    <col min="13" max="16384" width="9.109375" style="3"/>
  </cols>
  <sheetData>
    <row r="2" spans="1:12" ht="14.4" customHeight="1" x14ac:dyDescent="0.3">
      <c r="A2" s="104" t="s">
        <v>49</v>
      </c>
      <c r="B2" s="105"/>
      <c r="C2" s="105"/>
      <c r="D2" s="105"/>
      <c r="E2" s="106"/>
      <c r="F2" s="2" t="s">
        <v>0</v>
      </c>
      <c r="G2" s="27" t="str">
        <f>IF(I34&gt;50000,"e-way no.","")</f>
        <v>e-way no.</v>
      </c>
      <c r="H2" s="2" t="s">
        <v>1</v>
      </c>
      <c r="I2" s="4"/>
      <c r="J2" s="5"/>
    </row>
    <row r="3" spans="1:12" ht="14.4" customHeight="1" x14ac:dyDescent="0.3">
      <c r="A3" s="112" t="s">
        <v>71</v>
      </c>
      <c r="B3" s="113"/>
      <c r="C3" s="113"/>
      <c r="D3" s="113"/>
      <c r="E3" s="114"/>
      <c r="F3" s="8" t="s">
        <v>48</v>
      </c>
      <c r="G3" s="10"/>
      <c r="H3" s="31">
        <v>46073</v>
      </c>
      <c r="I3" s="9"/>
      <c r="J3" s="10"/>
      <c r="L3" s="32"/>
    </row>
    <row r="4" spans="1:12" x14ac:dyDescent="0.3">
      <c r="A4" s="112"/>
      <c r="B4" s="113"/>
      <c r="C4" s="113"/>
      <c r="D4" s="113"/>
      <c r="E4" s="114"/>
      <c r="F4" s="2" t="s">
        <v>2</v>
      </c>
      <c r="G4" s="5"/>
      <c r="H4" s="2" t="s">
        <v>8</v>
      </c>
      <c r="I4" s="4"/>
      <c r="J4" s="5"/>
    </row>
    <row r="5" spans="1:12" x14ac:dyDescent="0.3">
      <c r="A5" s="112"/>
      <c r="B5" s="113"/>
      <c r="C5" s="113"/>
      <c r="D5" s="113"/>
      <c r="E5" s="114"/>
      <c r="F5" s="11"/>
      <c r="G5" s="10"/>
      <c r="H5" s="11"/>
      <c r="I5" s="9"/>
      <c r="J5" s="10"/>
    </row>
    <row r="6" spans="1:12" x14ac:dyDescent="0.3">
      <c r="A6" s="115" t="s">
        <v>53</v>
      </c>
      <c r="B6" s="116"/>
      <c r="C6" s="116" t="s">
        <v>54</v>
      </c>
      <c r="D6" s="116"/>
      <c r="E6" s="117"/>
      <c r="F6" s="2" t="s">
        <v>3</v>
      </c>
      <c r="G6" s="5"/>
      <c r="H6" s="2" t="s">
        <v>9</v>
      </c>
      <c r="I6" s="4"/>
      <c r="J6" s="5"/>
    </row>
    <row r="7" spans="1:12" x14ac:dyDescent="0.3">
      <c r="A7" s="115" t="s">
        <v>55</v>
      </c>
      <c r="B7" s="116"/>
      <c r="C7" s="116" t="s">
        <v>59</v>
      </c>
      <c r="D7" s="116"/>
      <c r="E7" s="117"/>
      <c r="F7" s="11"/>
      <c r="G7" s="10"/>
      <c r="H7" s="11"/>
      <c r="I7" s="9"/>
      <c r="J7" s="10"/>
    </row>
    <row r="8" spans="1:12" x14ac:dyDescent="0.3">
      <c r="A8" s="118" t="s">
        <v>56</v>
      </c>
      <c r="B8" s="119"/>
      <c r="C8" s="119" t="s">
        <v>57</v>
      </c>
      <c r="D8" s="119"/>
      <c r="E8" s="120"/>
      <c r="F8" s="2" t="s">
        <v>4</v>
      </c>
      <c r="G8" s="5"/>
      <c r="H8" s="2" t="s">
        <v>1</v>
      </c>
      <c r="I8" s="4"/>
      <c r="J8" s="5"/>
    </row>
    <row r="9" spans="1:12" x14ac:dyDescent="0.3">
      <c r="A9" s="121" t="s">
        <v>50</v>
      </c>
      <c r="B9" s="122"/>
      <c r="C9" s="122"/>
      <c r="D9" s="122"/>
      <c r="E9" s="123"/>
      <c r="F9" s="11"/>
      <c r="G9" s="10"/>
      <c r="H9" s="11"/>
      <c r="I9" s="9"/>
      <c r="J9" s="10"/>
    </row>
    <row r="10" spans="1:12" x14ac:dyDescent="0.3">
      <c r="A10" s="52" t="s">
        <v>51</v>
      </c>
      <c r="B10" s="107"/>
      <c r="C10" s="107"/>
      <c r="D10" s="107"/>
      <c r="E10" s="108"/>
      <c r="F10" s="2" t="s">
        <v>5</v>
      </c>
      <c r="G10" s="5"/>
      <c r="H10" s="2" t="s">
        <v>10</v>
      </c>
      <c r="I10" s="4"/>
      <c r="J10" s="5"/>
    </row>
    <row r="11" spans="1:12" ht="14.4" customHeight="1" x14ac:dyDescent="0.3">
      <c r="A11" s="112" t="s">
        <v>52</v>
      </c>
      <c r="B11" s="113"/>
      <c r="C11" s="113"/>
      <c r="D11" s="113"/>
      <c r="E11" s="114"/>
      <c r="F11" s="11"/>
      <c r="G11" s="10"/>
      <c r="H11" s="11"/>
      <c r="I11" s="9"/>
      <c r="J11" s="10"/>
    </row>
    <row r="12" spans="1:12" x14ac:dyDescent="0.3">
      <c r="A12" s="112"/>
      <c r="B12" s="113"/>
      <c r="C12" s="113"/>
      <c r="D12" s="113"/>
      <c r="E12" s="114"/>
      <c r="F12" s="2" t="s">
        <v>6</v>
      </c>
      <c r="G12" s="5"/>
      <c r="H12" s="2" t="s">
        <v>11</v>
      </c>
      <c r="I12" s="4"/>
      <c r="J12" s="5"/>
    </row>
    <row r="13" spans="1:12" x14ac:dyDescent="0.3">
      <c r="A13" s="112"/>
      <c r="B13" s="113"/>
      <c r="C13" s="113"/>
      <c r="D13" s="113"/>
      <c r="E13" s="114"/>
      <c r="F13" s="11"/>
      <c r="G13" s="10"/>
      <c r="H13" s="11"/>
      <c r="I13" s="9"/>
      <c r="J13" s="10"/>
    </row>
    <row r="14" spans="1:12" x14ac:dyDescent="0.3">
      <c r="A14" s="115" t="s">
        <v>53</v>
      </c>
      <c r="B14" s="116"/>
      <c r="C14" s="107" t="s">
        <v>58</v>
      </c>
      <c r="D14" s="107"/>
      <c r="E14" s="108"/>
      <c r="F14" s="2" t="s">
        <v>7</v>
      </c>
      <c r="G14" s="4"/>
      <c r="J14" s="7"/>
    </row>
    <row r="15" spans="1:12" x14ac:dyDescent="0.3">
      <c r="A15" s="115" t="s">
        <v>55</v>
      </c>
      <c r="B15" s="116"/>
      <c r="C15" s="116" t="s">
        <v>59</v>
      </c>
      <c r="D15" s="116"/>
      <c r="E15" s="117"/>
      <c r="F15" s="6"/>
      <c r="J15" s="7"/>
    </row>
    <row r="16" spans="1:12" x14ac:dyDescent="0.3">
      <c r="A16" s="121" t="s">
        <v>50</v>
      </c>
      <c r="B16" s="122"/>
      <c r="C16" s="122"/>
      <c r="D16" s="122"/>
      <c r="E16" s="123"/>
      <c r="F16" s="6"/>
      <c r="J16" s="7"/>
    </row>
    <row r="17" spans="1:10" x14ac:dyDescent="0.3">
      <c r="A17" s="52" t="s">
        <v>51</v>
      </c>
      <c r="B17" s="107"/>
      <c r="C17" s="107"/>
      <c r="D17" s="107"/>
      <c r="E17" s="108"/>
      <c r="F17" s="6"/>
      <c r="J17" s="7"/>
    </row>
    <row r="18" spans="1:10" x14ac:dyDescent="0.3">
      <c r="A18" s="112" t="s">
        <v>52</v>
      </c>
      <c r="B18" s="113"/>
      <c r="C18" s="113"/>
      <c r="D18" s="113"/>
      <c r="E18" s="114"/>
      <c r="F18" s="6"/>
      <c r="J18" s="7"/>
    </row>
    <row r="19" spans="1:10" x14ac:dyDescent="0.3">
      <c r="A19" s="112"/>
      <c r="B19" s="113"/>
      <c r="C19" s="113"/>
      <c r="D19" s="113"/>
      <c r="E19" s="114"/>
      <c r="F19" s="6"/>
      <c r="J19" s="7"/>
    </row>
    <row r="20" spans="1:10" x14ac:dyDescent="0.3">
      <c r="A20" s="112"/>
      <c r="B20" s="113"/>
      <c r="C20" s="113"/>
      <c r="D20" s="113"/>
      <c r="E20" s="114"/>
      <c r="F20" s="6"/>
      <c r="J20" s="7"/>
    </row>
    <row r="21" spans="1:10" x14ac:dyDescent="0.3">
      <c r="A21" s="115" t="s">
        <v>53</v>
      </c>
      <c r="B21" s="116"/>
      <c r="C21" s="107" t="s">
        <v>58</v>
      </c>
      <c r="D21" s="107"/>
      <c r="E21" s="108"/>
      <c r="F21" s="6"/>
      <c r="J21" s="7"/>
    </row>
    <row r="22" spans="1:10" x14ac:dyDescent="0.3">
      <c r="A22" s="109" t="s">
        <v>55</v>
      </c>
      <c r="B22" s="107"/>
      <c r="C22" s="124" t="s">
        <v>59</v>
      </c>
      <c r="D22" s="124"/>
      <c r="E22" s="108"/>
      <c r="F22" s="6"/>
      <c r="J22" s="7"/>
    </row>
    <row r="23" spans="1:10" x14ac:dyDescent="0.3">
      <c r="A23" s="81" t="s">
        <v>60</v>
      </c>
      <c r="B23" s="103"/>
      <c r="C23" s="110" t="s">
        <v>61</v>
      </c>
      <c r="D23" s="110"/>
      <c r="E23" s="111"/>
      <c r="F23" s="11"/>
      <c r="G23" s="9"/>
      <c r="H23" s="9"/>
      <c r="I23" s="9"/>
      <c r="J23" s="10"/>
    </row>
    <row r="24" spans="1:10" x14ac:dyDescent="0.3">
      <c r="A24" s="15" t="s">
        <v>15</v>
      </c>
      <c r="B24" s="39" t="s">
        <v>24</v>
      </c>
      <c r="C24" s="55"/>
      <c r="D24" s="40"/>
      <c r="E24" s="15" t="s">
        <v>16</v>
      </c>
      <c r="F24" s="15" t="s">
        <v>25</v>
      </c>
      <c r="G24" s="15" t="s">
        <v>19</v>
      </c>
      <c r="H24" s="15" t="s">
        <v>26</v>
      </c>
      <c r="I24" s="39" t="s">
        <v>21</v>
      </c>
      <c r="J24" s="40"/>
    </row>
    <row r="25" spans="1:10" x14ac:dyDescent="0.3">
      <c r="A25" s="17">
        <v>1</v>
      </c>
      <c r="B25" s="56" t="s">
        <v>34</v>
      </c>
      <c r="C25" s="57"/>
      <c r="D25" s="58"/>
      <c r="E25" s="14">
        <v>4821</v>
      </c>
      <c r="F25" s="18">
        <v>13250</v>
      </c>
      <c r="G25" s="14">
        <v>6</v>
      </c>
      <c r="H25" s="19" t="str">
        <f>IF(G25&gt;0,"pcs","")</f>
        <v>pcs</v>
      </c>
      <c r="I25" s="41">
        <f>IF(F25&gt;0,F25*G25,"")</f>
        <v>79500</v>
      </c>
      <c r="J25" s="42"/>
    </row>
    <row r="26" spans="1:10" x14ac:dyDescent="0.3">
      <c r="A26" s="17" t="str">
        <f>IF(ISBLANK(B26),"",A25+1)</f>
        <v/>
      </c>
      <c r="B26" s="52"/>
      <c r="C26" s="53"/>
      <c r="D26" s="54"/>
      <c r="E26" s="14"/>
      <c r="F26" s="18"/>
      <c r="G26" s="14"/>
      <c r="H26" s="19"/>
      <c r="I26" s="43" t="str">
        <f>IF(F26&gt;0,F26*G26,"")</f>
        <v/>
      </c>
      <c r="J26" s="44"/>
    </row>
    <row r="27" spans="1:10" x14ac:dyDescent="0.3">
      <c r="A27" s="17" t="str">
        <f t="shared" ref="A27:A35" si="0">IF(ISBLANK(B27),"",A26+1)</f>
        <v/>
      </c>
      <c r="B27" s="52"/>
      <c r="C27" s="53"/>
      <c r="D27" s="54"/>
      <c r="E27" s="14"/>
      <c r="F27" s="18"/>
      <c r="G27" s="14"/>
      <c r="H27" s="19"/>
      <c r="I27" s="43" t="str">
        <f t="shared" ref="I27:I33" si="1">IF(F27&gt;0,F27*G27,"")</f>
        <v/>
      </c>
      <c r="J27" s="44"/>
    </row>
    <row r="28" spans="1:10" x14ac:dyDescent="0.3">
      <c r="A28" s="17" t="str">
        <f t="shared" si="0"/>
        <v/>
      </c>
      <c r="B28" s="52"/>
      <c r="C28" s="53"/>
      <c r="D28" s="54"/>
      <c r="E28" s="14"/>
      <c r="F28" s="18"/>
      <c r="G28" s="14"/>
      <c r="H28" s="19" t="str">
        <f t="shared" ref="H28:H33" si="2">IF(G28&gt;0,"pcs","")</f>
        <v/>
      </c>
      <c r="I28" s="43" t="str">
        <f t="shared" si="1"/>
        <v/>
      </c>
      <c r="J28" s="44"/>
    </row>
    <row r="29" spans="1:10" x14ac:dyDescent="0.3">
      <c r="A29" s="17" t="str">
        <f t="shared" si="0"/>
        <v/>
      </c>
      <c r="B29" s="52"/>
      <c r="C29" s="53"/>
      <c r="D29" s="54"/>
      <c r="E29" s="14"/>
      <c r="F29" s="18"/>
      <c r="G29" s="14"/>
      <c r="H29" s="19" t="str">
        <f t="shared" si="2"/>
        <v/>
      </c>
      <c r="I29" s="43" t="str">
        <f t="shared" si="1"/>
        <v/>
      </c>
      <c r="J29" s="44"/>
    </row>
    <row r="30" spans="1:10" x14ac:dyDescent="0.3">
      <c r="A30" s="17" t="str">
        <f t="shared" si="0"/>
        <v/>
      </c>
      <c r="B30" s="52"/>
      <c r="C30" s="53"/>
      <c r="D30" s="54"/>
      <c r="E30" s="14"/>
      <c r="F30" s="18"/>
      <c r="G30" s="14"/>
      <c r="H30" s="19" t="str">
        <f t="shared" si="2"/>
        <v/>
      </c>
      <c r="I30" s="43" t="str">
        <f t="shared" si="1"/>
        <v/>
      </c>
      <c r="J30" s="44"/>
    </row>
    <row r="31" spans="1:10" x14ac:dyDescent="0.3">
      <c r="A31" s="17" t="str">
        <f t="shared" si="0"/>
        <v/>
      </c>
      <c r="B31" s="52"/>
      <c r="C31" s="53"/>
      <c r="D31" s="54"/>
      <c r="E31" s="14"/>
      <c r="F31" s="18"/>
      <c r="G31" s="14"/>
      <c r="H31" s="19" t="str">
        <f t="shared" si="2"/>
        <v/>
      </c>
      <c r="I31" s="43" t="str">
        <f t="shared" si="1"/>
        <v/>
      </c>
      <c r="J31" s="44"/>
    </row>
    <row r="32" spans="1:10" x14ac:dyDescent="0.3">
      <c r="A32" s="17" t="str">
        <f t="shared" si="0"/>
        <v/>
      </c>
      <c r="B32" s="52"/>
      <c r="C32" s="53"/>
      <c r="D32" s="54"/>
      <c r="E32" s="14"/>
      <c r="F32" s="18"/>
      <c r="G32" s="14"/>
      <c r="H32" s="19" t="str">
        <f t="shared" si="2"/>
        <v/>
      </c>
      <c r="I32" s="43" t="str">
        <f t="shared" si="1"/>
        <v/>
      </c>
      <c r="J32" s="44"/>
    </row>
    <row r="33" spans="1:10" x14ac:dyDescent="0.3">
      <c r="A33" s="17" t="str">
        <f t="shared" si="0"/>
        <v/>
      </c>
      <c r="B33" s="52"/>
      <c r="C33" s="53"/>
      <c r="D33" s="54"/>
      <c r="E33" s="14"/>
      <c r="F33" s="18"/>
      <c r="G33" s="14"/>
      <c r="H33" s="19" t="str">
        <f t="shared" si="2"/>
        <v/>
      </c>
      <c r="I33" s="43" t="str">
        <f t="shared" si="1"/>
        <v/>
      </c>
      <c r="J33" s="44"/>
    </row>
    <row r="34" spans="1:10" x14ac:dyDescent="0.3">
      <c r="A34" s="17" t="str">
        <f t="shared" si="0"/>
        <v/>
      </c>
      <c r="B34" s="52"/>
      <c r="C34" s="53"/>
      <c r="D34" s="54"/>
      <c r="E34" s="14"/>
      <c r="F34" s="18"/>
      <c r="G34" s="14"/>
      <c r="H34" s="19"/>
      <c r="I34" s="41">
        <f xml:space="preserve"> IF(SUM(I25:J33)&gt;0,SUM(I25:J33),0)</f>
        <v>79500</v>
      </c>
      <c r="J34" s="42"/>
    </row>
    <row r="35" spans="1:10" x14ac:dyDescent="0.3">
      <c r="A35" s="17" t="str">
        <f t="shared" si="0"/>
        <v/>
      </c>
      <c r="B35" s="45"/>
      <c r="C35" s="59"/>
      <c r="D35" s="46"/>
      <c r="E35" s="14"/>
      <c r="F35" s="16"/>
      <c r="G35" s="14"/>
      <c r="H35" s="14"/>
      <c r="I35" s="45"/>
      <c r="J35" s="46"/>
    </row>
    <row r="36" spans="1:10" x14ac:dyDescent="0.3">
      <c r="A36" s="17"/>
      <c r="B36" s="70" t="s">
        <v>22</v>
      </c>
      <c r="C36" s="71"/>
      <c r="D36" s="72"/>
      <c r="E36" s="14"/>
      <c r="F36" s="16"/>
      <c r="G36" s="14"/>
      <c r="H36" s="33" t="str">
        <f>IF(AND(CALCULATION!B14&gt;0,CALCULATION!E14&gt;0),"",IF(CALCULATION!B14&gt;0,"6%",IF(CALCULATION!E14&gt;0,"9%","")))</f>
        <v>9%</v>
      </c>
      <c r="I36" s="60">
        <f>IF(I34&gt;0,F46,"")</f>
        <v>7155</v>
      </c>
      <c r="J36" s="46"/>
    </row>
    <row r="37" spans="1:10" x14ac:dyDescent="0.3">
      <c r="A37" s="17"/>
      <c r="B37" s="70" t="s">
        <v>29</v>
      </c>
      <c r="C37" s="71"/>
      <c r="D37" s="72"/>
      <c r="E37" s="14"/>
      <c r="F37" s="16"/>
      <c r="G37" s="14"/>
      <c r="H37" s="33" t="str">
        <f>IF(AND(CALCULATION!B14&gt;0,CALCULATION!E14&gt;0),"",IF(CALCULATION!B14&gt;0,"6%",IF(CALCULATION!E14&gt;0,"9%","")))</f>
        <v>9%</v>
      </c>
      <c r="I37" s="60">
        <f>IF(I34&gt;0,H46,"")</f>
        <v>7155</v>
      </c>
      <c r="J37" s="46"/>
    </row>
    <row r="38" spans="1:10" x14ac:dyDescent="0.3">
      <c r="A38" s="17"/>
      <c r="B38" s="73" t="s">
        <v>30</v>
      </c>
      <c r="C38" s="74"/>
      <c r="D38" s="75"/>
      <c r="E38" s="14"/>
      <c r="F38" s="16"/>
      <c r="G38" s="14"/>
      <c r="H38" s="14"/>
      <c r="I38" s="61">
        <f>IF(I34&gt;0,CALCULATION!H10,"")</f>
        <v>0</v>
      </c>
      <c r="J38" s="62"/>
    </row>
    <row r="39" spans="1:10" x14ac:dyDescent="0.3">
      <c r="A39" s="13"/>
      <c r="B39" s="76" t="s">
        <v>39</v>
      </c>
      <c r="C39" s="77"/>
      <c r="D39" s="78"/>
      <c r="E39" s="13"/>
      <c r="F39" s="25">
        <f>SUM(F25:F33)</f>
        <v>13250</v>
      </c>
      <c r="G39" s="13"/>
      <c r="H39" s="13"/>
      <c r="I39" s="63">
        <f>IF(I34&gt;0,SUM(I34:J38),0)</f>
        <v>93810</v>
      </c>
      <c r="J39" s="64"/>
    </row>
    <row r="40" spans="1:10" x14ac:dyDescent="0.3">
      <c r="A40" s="2" t="s">
        <v>27</v>
      </c>
      <c r="B40" s="4"/>
      <c r="C40" s="4"/>
      <c r="D40" s="4"/>
      <c r="E40" s="4"/>
      <c r="F40" s="4"/>
      <c r="G40" s="4"/>
      <c r="H40" s="4"/>
      <c r="I40" s="4"/>
      <c r="J40" s="26" t="s">
        <v>46</v>
      </c>
    </row>
    <row r="41" spans="1:10" x14ac:dyDescent="0.3">
      <c r="A41" s="8" t="s">
        <v>28</v>
      </c>
      <c r="B41" s="28" t="str" cm="1">
        <f t="array" ref="B41">spellamt(I39)</f>
        <v>Ninety Three Thousand Eight Hundred Ten Only</v>
      </c>
      <c r="C41" s="9"/>
      <c r="D41" s="9"/>
      <c r="E41" s="9"/>
      <c r="F41" s="9"/>
      <c r="G41" s="9"/>
      <c r="H41" s="9"/>
      <c r="I41" s="9"/>
      <c r="J41" s="10"/>
    </row>
    <row r="42" spans="1:10" x14ac:dyDescent="0.3">
      <c r="A42" s="79" t="s">
        <v>16</v>
      </c>
      <c r="B42" s="80"/>
      <c r="C42" s="47" t="s">
        <v>17</v>
      </c>
      <c r="D42" s="48"/>
      <c r="E42" s="51" t="s">
        <v>22</v>
      </c>
      <c r="F42" s="51"/>
      <c r="G42" s="51" t="s">
        <v>23</v>
      </c>
      <c r="H42" s="51"/>
      <c r="I42" s="47" t="s">
        <v>20</v>
      </c>
      <c r="J42" s="48"/>
    </row>
    <row r="43" spans="1:10" x14ac:dyDescent="0.3">
      <c r="A43" s="81"/>
      <c r="B43" s="82"/>
      <c r="C43" s="49" t="s">
        <v>18</v>
      </c>
      <c r="D43" s="50"/>
      <c r="E43" s="15" t="s">
        <v>19</v>
      </c>
      <c r="F43" s="15" t="s">
        <v>21</v>
      </c>
      <c r="G43" s="15" t="s">
        <v>19</v>
      </c>
      <c r="H43" s="15" t="s">
        <v>21</v>
      </c>
      <c r="I43" s="49" t="s">
        <v>21</v>
      </c>
      <c r="J43" s="50"/>
    </row>
    <row r="44" spans="1:10" x14ac:dyDescent="0.3">
      <c r="A44" s="51" t="str">
        <f>IF(CALCULATION!B14&gt;0,"5807","")</f>
        <v/>
      </c>
      <c r="B44" s="51"/>
      <c r="C44" s="67" t="str">
        <f>IF(CALCULATION!B14&gt;0,CALCULATION!B14,"")</f>
        <v/>
      </c>
      <c r="D44" s="68"/>
      <c r="E44" s="21" t="str">
        <f>IF(CALCULATION!B14&gt;0,"6%","")</f>
        <v/>
      </c>
      <c r="F44" s="23" t="str">
        <f>IF(CALCULATION!B14&gt;0,(C44*E44),"")</f>
        <v/>
      </c>
      <c r="G44" s="21" t="str">
        <f>IF(CALCULATION!B14&gt;0,"6%","")</f>
        <v/>
      </c>
      <c r="H44" s="23" t="str">
        <f>IF(CALCULATION!B14&gt;0,(C44*G44),"")</f>
        <v/>
      </c>
      <c r="I44" s="67" t="str">
        <f>IF(CALCULATION!B14&gt;0,SUM(F44+H44),"")</f>
        <v/>
      </c>
      <c r="J44" s="68"/>
    </row>
    <row r="45" spans="1:10" x14ac:dyDescent="0.3">
      <c r="A45" s="51" t="str">
        <f>IF(CALCULATION!E14&gt;0,"4821","")</f>
        <v>4821</v>
      </c>
      <c r="B45" s="51"/>
      <c r="C45" s="67">
        <f>IF(CALCULATION!E14&gt;0,CALCULATION!E14,"")</f>
        <v>79500</v>
      </c>
      <c r="D45" s="68"/>
      <c r="E45" s="21" t="str">
        <f>IF(CALCULATION!E14&gt;0,"9%","")</f>
        <v>9%</v>
      </c>
      <c r="F45" s="23">
        <f>IF(CALCULATION!E14&gt;0,(C45*E45),"")</f>
        <v>7155</v>
      </c>
      <c r="G45" s="21" t="str">
        <f>IF(CALCULATION!E14&gt;0,"9%","")</f>
        <v>9%</v>
      </c>
      <c r="H45" s="23">
        <f>IF(CALCULATION!E14&gt;0,(C45*G45),"")</f>
        <v>7155</v>
      </c>
      <c r="I45" s="67">
        <f>IF(CALCULATION!E14&gt;0,SUM(F45+H45),"")</f>
        <v>14310</v>
      </c>
      <c r="J45" s="68"/>
    </row>
    <row r="46" spans="1:10" x14ac:dyDescent="0.3">
      <c r="A46" s="83" t="s">
        <v>35</v>
      </c>
      <c r="B46" s="83"/>
      <c r="C46" s="65">
        <f>SUM(C44:D45)</f>
        <v>79500</v>
      </c>
      <c r="D46" s="69"/>
      <c r="E46" s="22"/>
      <c r="F46" s="24">
        <f>SUM(F44:F45)</f>
        <v>7155</v>
      </c>
      <c r="G46" s="22"/>
      <c r="H46" s="24">
        <f>SUM(H44:H45)</f>
        <v>7155</v>
      </c>
      <c r="I46" s="65">
        <f>SUM(I44:J45)</f>
        <v>14310</v>
      </c>
      <c r="J46" s="66"/>
    </row>
    <row r="47" spans="1:10" x14ac:dyDescent="0.3">
      <c r="A47" s="2" t="s">
        <v>14</v>
      </c>
      <c r="B47" s="4"/>
      <c r="C47" s="4"/>
      <c r="D47" s="29" t="s">
        <v>28</v>
      </c>
      <c r="E47" s="30" t="str" cm="1">
        <f t="array" ref="E47">spellamt(I46)</f>
        <v>Fourteen Thousand Three Hundred Ten Only</v>
      </c>
      <c r="F47" s="4"/>
      <c r="G47" s="4"/>
      <c r="H47" s="4"/>
      <c r="I47" s="4"/>
      <c r="J47" s="5"/>
    </row>
    <row r="48" spans="1:10" x14ac:dyDescent="0.3">
      <c r="A48" s="6"/>
      <c r="F48" s="127" t="s">
        <v>62</v>
      </c>
      <c r="G48" s="127"/>
      <c r="H48" s="125"/>
      <c r="I48" s="125"/>
      <c r="J48" s="126"/>
    </row>
    <row r="49" spans="1:10" x14ac:dyDescent="0.3">
      <c r="A49" s="6"/>
      <c r="F49" s="131" t="s">
        <v>68</v>
      </c>
      <c r="G49" s="131"/>
      <c r="H49" s="129" t="s">
        <v>63</v>
      </c>
      <c r="I49" s="129"/>
      <c r="J49" s="130"/>
    </row>
    <row r="50" spans="1:10" x14ac:dyDescent="0.3">
      <c r="A50" s="6"/>
      <c r="F50" s="131" t="s">
        <v>67</v>
      </c>
      <c r="G50" s="131"/>
      <c r="H50" s="132" t="s">
        <v>64</v>
      </c>
      <c r="I50" s="132"/>
      <c r="J50" s="133"/>
    </row>
    <row r="51" spans="1:10" x14ac:dyDescent="0.3">
      <c r="A51" s="6"/>
      <c r="F51" s="128" t="s">
        <v>65</v>
      </c>
      <c r="G51" s="128"/>
      <c r="H51" s="134" t="s">
        <v>66</v>
      </c>
      <c r="I51" s="134"/>
      <c r="J51" s="135"/>
    </row>
    <row r="52" spans="1:10" x14ac:dyDescent="0.3">
      <c r="A52" s="2" t="s">
        <v>12</v>
      </c>
      <c r="B52" s="4"/>
      <c r="C52" s="4"/>
      <c r="D52" s="4"/>
      <c r="E52" s="5"/>
      <c r="F52" s="2"/>
      <c r="G52" s="4"/>
      <c r="H52" s="4"/>
      <c r="I52" s="137" t="s">
        <v>70</v>
      </c>
      <c r="J52" s="136" t="s">
        <v>69</v>
      </c>
    </row>
    <row r="53" spans="1:10" x14ac:dyDescent="0.3">
      <c r="A53" s="6"/>
      <c r="E53" s="7"/>
      <c r="F53" s="6"/>
      <c r="J53" s="7"/>
    </row>
    <row r="54" spans="1:10" x14ac:dyDescent="0.3">
      <c r="A54" s="6"/>
      <c r="E54" s="7"/>
      <c r="F54" s="6"/>
      <c r="J54" s="7"/>
    </row>
    <row r="55" spans="1:10" x14ac:dyDescent="0.3">
      <c r="A55" s="11"/>
      <c r="B55" s="9"/>
      <c r="C55" s="9"/>
      <c r="D55" s="9"/>
      <c r="E55" s="10"/>
      <c r="F55" s="11"/>
      <c r="G55" s="9"/>
      <c r="H55" s="9"/>
      <c r="I55" s="9"/>
      <c r="J55" s="12" t="s">
        <v>13</v>
      </c>
    </row>
  </sheetData>
  <mergeCells count="79">
    <mergeCell ref="F49:G49"/>
    <mergeCell ref="H49:J49"/>
    <mergeCell ref="F50:G50"/>
    <mergeCell ref="H50:J50"/>
    <mergeCell ref="F51:G51"/>
    <mergeCell ref="H51:J51"/>
    <mergeCell ref="A22:B22"/>
    <mergeCell ref="A23:B23"/>
    <mergeCell ref="C23:E23"/>
    <mergeCell ref="C22:E22"/>
    <mergeCell ref="F48:G48"/>
    <mergeCell ref="A16:E16"/>
    <mergeCell ref="A17:E17"/>
    <mergeCell ref="A18:E20"/>
    <mergeCell ref="A21:B21"/>
    <mergeCell ref="C21:E21"/>
    <mergeCell ref="A6:B6"/>
    <mergeCell ref="C6:E6"/>
    <mergeCell ref="A7:B7"/>
    <mergeCell ref="C7:E7"/>
    <mergeCell ref="A8:B8"/>
    <mergeCell ref="C8:E8"/>
    <mergeCell ref="A14:B14"/>
    <mergeCell ref="C14:E14"/>
    <mergeCell ref="A15:B15"/>
    <mergeCell ref="C15:E15"/>
    <mergeCell ref="A9:E9"/>
    <mergeCell ref="A10:E10"/>
    <mergeCell ref="A11:E13"/>
    <mergeCell ref="A2:E2"/>
    <mergeCell ref="A3:E5"/>
    <mergeCell ref="C43:D43"/>
    <mergeCell ref="B34:D34"/>
    <mergeCell ref="I46:J46"/>
    <mergeCell ref="C44:D44"/>
    <mergeCell ref="C45:D45"/>
    <mergeCell ref="C46:D46"/>
    <mergeCell ref="B36:D36"/>
    <mergeCell ref="B37:D37"/>
    <mergeCell ref="B38:D38"/>
    <mergeCell ref="B39:D39"/>
    <mergeCell ref="I44:J44"/>
    <mergeCell ref="I45:J45"/>
    <mergeCell ref="A42:B43"/>
    <mergeCell ref="A44:B44"/>
    <mergeCell ref="A45:B45"/>
    <mergeCell ref="A46:B46"/>
    <mergeCell ref="C42:D42"/>
    <mergeCell ref="B35:D35"/>
    <mergeCell ref="I36:J36"/>
    <mergeCell ref="I37:J37"/>
    <mergeCell ref="I38:J38"/>
    <mergeCell ref="I39:J39"/>
    <mergeCell ref="B24:D24"/>
    <mergeCell ref="B25:D25"/>
    <mergeCell ref="B26:D26"/>
    <mergeCell ref="B27:D27"/>
    <mergeCell ref="B28:D28"/>
    <mergeCell ref="B29:D29"/>
    <mergeCell ref="I30:J30"/>
    <mergeCell ref="I31:J31"/>
    <mergeCell ref="I32:J32"/>
    <mergeCell ref="I33:J33"/>
    <mergeCell ref="I29:J29"/>
    <mergeCell ref="B30:D30"/>
    <mergeCell ref="B31:D31"/>
    <mergeCell ref="B32:D32"/>
    <mergeCell ref="B33:D33"/>
    <mergeCell ref="I34:J34"/>
    <mergeCell ref="I35:J35"/>
    <mergeCell ref="I42:J42"/>
    <mergeCell ref="I43:J43"/>
    <mergeCell ref="E42:F42"/>
    <mergeCell ref="G42:H42"/>
    <mergeCell ref="I24:J24"/>
    <mergeCell ref="I25:J25"/>
    <mergeCell ref="I26:J26"/>
    <mergeCell ref="I27:J27"/>
    <mergeCell ref="I28:J28"/>
  </mergeCells>
  <printOptions horizontalCentered="1" verticalCentered="1"/>
  <pageMargins left="0" right="0" top="0" bottom="0" header="0" footer="0"/>
  <pageSetup paperSize="9" scale="99" orientation="portrait" r:id="rId1"/>
  <ignoredErrors>
    <ignoredError sqref="F44:F45" formula="1"/>
    <ignoredError sqref="H50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9D98A-F40B-490C-A406-89F56039C32B}">
  <sheetPr codeName="Sheet2"/>
  <dimension ref="B3:U79"/>
  <sheetViews>
    <sheetView showGridLines="0" workbookViewId="0">
      <selection activeCell="V11" sqref="V11"/>
    </sheetView>
  </sheetViews>
  <sheetFormatPr defaultRowHeight="14.4" x14ac:dyDescent="0.3"/>
  <cols>
    <col min="21" max="21" width="12.5546875" customWidth="1"/>
  </cols>
  <sheetData>
    <row r="3" spans="2:21" x14ac:dyDescent="0.3">
      <c r="B3" s="84" t="s">
        <v>40</v>
      </c>
      <c r="T3" s="34" t="s">
        <v>47</v>
      </c>
      <c r="U3" s="35">
        <f ca="1">TODAY()</f>
        <v>46084</v>
      </c>
    </row>
    <row r="4" spans="2:21" x14ac:dyDescent="0.3">
      <c r="B4" s="84"/>
    </row>
    <row r="5" spans="2:21" x14ac:dyDescent="0.3">
      <c r="B5" s="36"/>
      <c r="C5" s="36"/>
      <c r="D5" s="36"/>
      <c r="E5" s="36"/>
      <c r="F5" s="36"/>
    </row>
    <row r="6" spans="2:21" x14ac:dyDescent="0.3">
      <c r="B6" s="85" t="s">
        <v>41</v>
      </c>
      <c r="C6" s="86"/>
      <c r="D6" s="86"/>
      <c r="E6" s="86"/>
      <c r="F6" s="87"/>
      <c r="H6" s="85" t="s">
        <v>42</v>
      </c>
      <c r="I6" s="86"/>
      <c r="J6" s="86"/>
      <c r="K6" s="86"/>
      <c r="L6" s="87"/>
      <c r="N6" s="85" t="s">
        <v>43</v>
      </c>
      <c r="O6" s="86"/>
      <c r="P6" s="86"/>
      <c r="Q6" s="86"/>
      <c r="R6" s="87"/>
    </row>
    <row r="7" spans="2:21" x14ac:dyDescent="0.3">
      <c r="B7" s="88"/>
      <c r="C7" s="89"/>
      <c r="D7" s="89"/>
      <c r="E7" s="89"/>
      <c r="F7" s="90"/>
      <c r="H7" s="91"/>
      <c r="I7" s="92"/>
      <c r="J7" s="92"/>
      <c r="K7" s="92"/>
      <c r="L7" s="93"/>
      <c r="N7" s="91"/>
      <c r="O7" s="92"/>
      <c r="P7" s="92"/>
      <c r="Q7" s="92"/>
      <c r="R7" s="93"/>
    </row>
    <row r="8" spans="2:21" x14ac:dyDescent="0.3">
      <c r="B8" s="88"/>
      <c r="C8" s="89"/>
      <c r="D8" s="89"/>
      <c r="E8" s="89"/>
      <c r="F8" s="90"/>
      <c r="H8" s="91"/>
      <c r="I8" s="92"/>
      <c r="J8" s="92"/>
      <c r="K8" s="92"/>
      <c r="L8" s="93"/>
      <c r="N8" s="91"/>
      <c r="O8" s="92"/>
      <c r="P8" s="92"/>
      <c r="Q8" s="92"/>
      <c r="R8" s="93"/>
    </row>
    <row r="9" spans="2:21" x14ac:dyDescent="0.3">
      <c r="B9" s="88"/>
      <c r="C9" s="89"/>
      <c r="D9" s="89"/>
      <c r="E9" s="89"/>
      <c r="F9" s="90"/>
      <c r="H9" s="91"/>
      <c r="I9" s="92"/>
      <c r="J9" s="92"/>
      <c r="K9" s="92"/>
      <c r="L9" s="93"/>
      <c r="N9" s="91"/>
      <c r="O9" s="92"/>
      <c r="P9" s="92"/>
      <c r="Q9" s="92"/>
      <c r="R9" s="93"/>
    </row>
    <row r="10" spans="2:21" x14ac:dyDescent="0.3">
      <c r="B10" s="88"/>
      <c r="C10" s="89"/>
      <c r="D10" s="89"/>
      <c r="E10" s="89"/>
      <c r="F10" s="90"/>
      <c r="H10" s="91"/>
      <c r="I10" s="92"/>
      <c r="J10" s="92"/>
      <c r="K10" s="92"/>
      <c r="L10" s="93"/>
      <c r="N10" s="91"/>
      <c r="O10" s="92"/>
      <c r="P10" s="92"/>
      <c r="Q10" s="92"/>
      <c r="R10" s="93"/>
    </row>
    <row r="11" spans="2:21" x14ac:dyDescent="0.3">
      <c r="B11" s="88"/>
      <c r="C11" s="89"/>
      <c r="D11" s="89"/>
      <c r="E11" s="89"/>
      <c r="F11" s="90"/>
      <c r="H11" s="91"/>
      <c r="I11" s="92"/>
      <c r="J11" s="92"/>
      <c r="K11" s="92"/>
      <c r="L11" s="93"/>
      <c r="N11" s="91"/>
      <c r="O11" s="92"/>
      <c r="P11" s="92"/>
      <c r="Q11" s="92"/>
      <c r="R11" s="93"/>
    </row>
    <row r="12" spans="2:21" x14ac:dyDescent="0.3">
      <c r="B12" s="88"/>
      <c r="C12" s="89"/>
      <c r="D12" s="89"/>
      <c r="E12" s="89"/>
      <c r="F12" s="90"/>
      <c r="H12" s="91"/>
      <c r="I12" s="92"/>
      <c r="J12" s="92"/>
      <c r="K12" s="92"/>
      <c r="L12" s="93"/>
      <c r="N12" s="91"/>
      <c r="O12" s="92"/>
      <c r="P12" s="92"/>
      <c r="Q12" s="92"/>
      <c r="R12" s="93"/>
    </row>
    <row r="13" spans="2:21" x14ac:dyDescent="0.3">
      <c r="B13" s="88"/>
      <c r="C13" s="89"/>
      <c r="D13" s="89"/>
      <c r="E13" s="89"/>
      <c r="F13" s="90"/>
      <c r="H13" s="91"/>
      <c r="I13" s="92"/>
      <c r="J13" s="92"/>
      <c r="K13" s="92"/>
      <c r="L13" s="93"/>
      <c r="N13" s="91"/>
      <c r="O13" s="92"/>
      <c r="P13" s="92"/>
      <c r="Q13" s="92"/>
      <c r="R13" s="93"/>
    </row>
    <row r="14" spans="2:21" x14ac:dyDescent="0.3">
      <c r="B14" s="37"/>
      <c r="F14" s="38"/>
      <c r="H14" s="37"/>
      <c r="L14" s="38"/>
      <c r="N14" s="37"/>
      <c r="R14" s="38"/>
    </row>
    <row r="15" spans="2:21" x14ac:dyDescent="0.3">
      <c r="B15" s="91"/>
      <c r="C15" s="92"/>
      <c r="D15" s="92"/>
      <c r="E15" s="92"/>
      <c r="F15" s="93"/>
      <c r="H15" s="91"/>
      <c r="I15" s="92"/>
      <c r="J15" s="92"/>
      <c r="K15" s="92"/>
      <c r="L15" s="93"/>
      <c r="N15" s="91"/>
      <c r="O15" s="92"/>
      <c r="P15" s="92"/>
      <c r="Q15" s="92"/>
      <c r="R15" s="93"/>
    </row>
    <row r="16" spans="2:21" x14ac:dyDescent="0.3">
      <c r="B16" s="91"/>
      <c r="C16" s="92"/>
      <c r="D16" s="92"/>
      <c r="E16" s="92"/>
      <c r="F16" s="93"/>
      <c r="H16" s="91"/>
      <c r="I16" s="92"/>
      <c r="J16" s="92"/>
      <c r="K16" s="92"/>
      <c r="L16" s="93"/>
      <c r="N16" s="91"/>
      <c r="O16" s="92"/>
      <c r="P16" s="92"/>
      <c r="Q16" s="92"/>
      <c r="R16" s="93"/>
    </row>
    <row r="17" spans="2:18" x14ac:dyDescent="0.3">
      <c r="B17" s="91"/>
      <c r="C17" s="92"/>
      <c r="D17" s="92"/>
      <c r="E17" s="92"/>
      <c r="F17" s="93"/>
      <c r="H17" s="91"/>
      <c r="I17" s="92"/>
      <c r="J17" s="92"/>
      <c r="K17" s="92"/>
      <c r="L17" s="93"/>
      <c r="N17" s="91"/>
      <c r="O17" s="92"/>
      <c r="P17" s="92"/>
      <c r="Q17" s="92"/>
      <c r="R17" s="93"/>
    </row>
    <row r="18" spans="2:18" x14ac:dyDescent="0.3">
      <c r="B18" s="91"/>
      <c r="C18" s="92"/>
      <c r="D18" s="92"/>
      <c r="E18" s="92"/>
      <c r="F18" s="93"/>
      <c r="H18" s="91"/>
      <c r="I18" s="92"/>
      <c r="J18" s="92"/>
      <c r="K18" s="92"/>
      <c r="L18" s="93"/>
      <c r="N18" s="91"/>
      <c r="O18" s="92"/>
      <c r="P18" s="92"/>
      <c r="Q18" s="92"/>
      <c r="R18" s="93"/>
    </row>
    <row r="19" spans="2:18" x14ac:dyDescent="0.3">
      <c r="B19" s="91"/>
      <c r="C19" s="92"/>
      <c r="D19" s="92"/>
      <c r="E19" s="92"/>
      <c r="F19" s="93"/>
      <c r="H19" s="91"/>
      <c r="I19" s="92"/>
      <c r="J19" s="92"/>
      <c r="K19" s="92"/>
      <c r="L19" s="93"/>
      <c r="N19" s="91"/>
      <c r="O19" s="92"/>
      <c r="P19" s="92"/>
      <c r="Q19" s="92"/>
      <c r="R19" s="93"/>
    </row>
    <row r="20" spans="2:18" x14ac:dyDescent="0.3">
      <c r="B20" s="91"/>
      <c r="C20" s="92"/>
      <c r="D20" s="92"/>
      <c r="E20" s="92"/>
      <c r="F20" s="93"/>
      <c r="H20" s="91"/>
      <c r="I20" s="92"/>
      <c r="J20" s="92"/>
      <c r="K20" s="92"/>
      <c r="L20" s="93"/>
      <c r="N20" s="91"/>
      <c r="O20" s="92"/>
      <c r="P20" s="92"/>
      <c r="Q20" s="92"/>
      <c r="R20" s="93"/>
    </row>
    <row r="21" spans="2:18" x14ac:dyDescent="0.3">
      <c r="B21" s="91"/>
      <c r="C21" s="92"/>
      <c r="D21" s="92"/>
      <c r="E21" s="92"/>
      <c r="F21" s="93"/>
      <c r="H21" s="91"/>
      <c r="I21" s="92"/>
      <c r="J21" s="92"/>
      <c r="K21" s="92"/>
      <c r="L21" s="93"/>
      <c r="N21" s="91"/>
      <c r="O21" s="92"/>
      <c r="P21" s="92"/>
      <c r="Q21" s="92"/>
      <c r="R21" s="93"/>
    </row>
    <row r="22" spans="2:18" x14ac:dyDescent="0.3">
      <c r="B22" s="94"/>
      <c r="C22" s="95"/>
      <c r="D22" s="95"/>
      <c r="E22" s="95"/>
      <c r="F22" s="96"/>
      <c r="H22" s="94"/>
      <c r="I22" s="95"/>
      <c r="J22" s="95"/>
      <c r="K22" s="95"/>
      <c r="L22" s="96"/>
      <c r="N22" s="94"/>
      <c r="O22" s="95"/>
      <c r="P22" s="95"/>
      <c r="Q22" s="95"/>
      <c r="R22" s="96"/>
    </row>
    <row r="25" spans="2:18" x14ac:dyDescent="0.3">
      <c r="B25" s="85" t="s">
        <v>44</v>
      </c>
      <c r="C25" s="86"/>
      <c r="D25" s="86"/>
      <c r="E25" s="86"/>
      <c r="F25" s="87"/>
      <c r="H25" s="85" t="s">
        <v>45</v>
      </c>
      <c r="I25" s="86"/>
      <c r="J25" s="86"/>
      <c r="K25" s="86"/>
      <c r="L25" s="87"/>
      <c r="N25" s="85"/>
      <c r="O25" s="86"/>
      <c r="P25" s="86"/>
      <c r="Q25" s="86"/>
      <c r="R25" s="87"/>
    </row>
    <row r="26" spans="2:18" x14ac:dyDescent="0.3">
      <c r="B26" s="91"/>
      <c r="C26" s="92"/>
      <c r="D26" s="92"/>
      <c r="E26" s="92"/>
      <c r="F26" s="93"/>
      <c r="H26" s="91"/>
      <c r="I26" s="92"/>
      <c r="J26" s="92"/>
      <c r="K26" s="92"/>
      <c r="L26" s="93"/>
      <c r="N26" s="91"/>
      <c r="O26" s="92"/>
      <c r="P26" s="92"/>
      <c r="Q26" s="92"/>
      <c r="R26" s="93"/>
    </row>
    <row r="27" spans="2:18" x14ac:dyDescent="0.3">
      <c r="B27" s="91"/>
      <c r="C27" s="92"/>
      <c r="D27" s="92"/>
      <c r="E27" s="92"/>
      <c r="F27" s="93"/>
      <c r="H27" s="91"/>
      <c r="I27" s="92"/>
      <c r="J27" s="92"/>
      <c r="K27" s="92"/>
      <c r="L27" s="93"/>
      <c r="N27" s="91"/>
      <c r="O27" s="92"/>
      <c r="P27" s="92"/>
      <c r="Q27" s="92"/>
      <c r="R27" s="93"/>
    </row>
    <row r="28" spans="2:18" x14ac:dyDescent="0.3">
      <c r="B28" s="91"/>
      <c r="C28" s="92"/>
      <c r="D28" s="92"/>
      <c r="E28" s="92"/>
      <c r="F28" s="93"/>
      <c r="H28" s="91"/>
      <c r="I28" s="92"/>
      <c r="J28" s="92"/>
      <c r="K28" s="92"/>
      <c r="L28" s="93"/>
      <c r="N28" s="91"/>
      <c r="O28" s="92"/>
      <c r="P28" s="92"/>
      <c r="Q28" s="92"/>
      <c r="R28" s="93"/>
    </row>
    <row r="29" spans="2:18" x14ac:dyDescent="0.3">
      <c r="B29" s="91"/>
      <c r="C29" s="92"/>
      <c r="D29" s="92"/>
      <c r="E29" s="92"/>
      <c r="F29" s="93"/>
      <c r="H29" s="91"/>
      <c r="I29" s="92"/>
      <c r="J29" s="92"/>
      <c r="K29" s="92"/>
      <c r="L29" s="93"/>
      <c r="N29" s="91"/>
      <c r="O29" s="92"/>
      <c r="P29" s="92"/>
      <c r="Q29" s="92"/>
      <c r="R29" s="93"/>
    </row>
    <row r="30" spans="2:18" x14ac:dyDescent="0.3">
      <c r="B30" s="91"/>
      <c r="C30" s="92"/>
      <c r="D30" s="92"/>
      <c r="E30" s="92"/>
      <c r="F30" s="93"/>
      <c r="H30" s="91"/>
      <c r="I30" s="92"/>
      <c r="J30" s="92"/>
      <c r="K30" s="92"/>
      <c r="L30" s="93"/>
      <c r="N30" s="91"/>
      <c r="O30" s="92"/>
      <c r="P30" s="92"/>
      <c r="Q30" s="92"/>
      <c r="R30" s="93"/>
    </row>
    <row r="31" spans="2:18" x14ac:dyDescent="0.3">
      <c r="B31" s="91"/>
      <c r="C31" s="92"/>
      <c r="D31" s="92"/>
      <c r="E31" s="92"/>
      <c r="F31" s="93"/>
      <c r="H31" s="91"/>
      <c r="I31" s="92"/>
      <c r="J31" s="92"/>
      <c r="K31" s="92"/>
      <c r="L31" s="93"/>
      <c r="N31" s="91"/>
      <c r="O31" s="92"/>
      <c r="P31" s="92"/>
      <c r="Q31" s="92"/>
      <c r="R31" s="93"/>
    </row>
    <row r="32" spans="2:18" x14ac:dyDescent="0.3">
      <c r="B32" s="91"/>
      <c r="C32" s="92"/>
      <c r="D32" s="92"/>
      <c r="E32" s="92"/>
      <c r="F32" s="93"/>
      <c r="H32" s="91"/>
      <c r="I32" s="92"/>
      <c r="J32" s="92"/>
      <c r="K32" s="92"/>
      <c r="L32" s="93"/>
      <c r="N32" s="91"/>
      <c r="O32" s="92"/>
      <c r="P32" s="92"/>
      <c r="Q32" s="92"/>
      <c r="R32" s="93"/>
    </row>
    <row r="33" spans="2:18" x14ac:dyDescent="0.3">
      <c r="B33" s="37"/>
      <c r="F33" s="38"/>
      <c r="H33" s="37"/>
      <c r="L33" s="38"/>
      <c r="N33" s="37"/>
      <c r="R33" s="38"/>
    </row>
    <row r="34" spans="2:18" x14ac:dyDescent="0.3">
      <c r="B34" s="91"/>
      <c r="C34" s="92"/>
      <c r="D34" s="92"/>
      <c r="E34" s="92"/>
      <c r="F34" s="93"/>
      <c r="H34" s="91"/>
      <c r="I34" s="92"/>
      <c r="J34" s="92"/>
      <c r="K34" s="92"/>
      <c r="L34" s="93"/>
      <c r="N34" s="91"/>
      <c r="O34" s="92"/>
      <c r="P34" s="92"/>
      <c r="Q34" s="92"/>
      <c r="R34" s="93"/>
    </row>
    <row r="35" spans="2:18" x14ac:dyDescent="0.3">
      <c r="B35" s="91"/>
      <c r="C35" s="92"/>
      <c r="D35" s="92"/>
      <c r="E35" s="92"/>
      <c r="F35" s="93"/>
      <c r="H35" s="91"/>
      <c r="I35" s="92"/>
      <c r="J35" s="92"/>
      <c r="K35" s="92"/>
      <c r="L35" s="93"/>
      <c r="N35" s="91"/>
      <c r="O35" s="92"/>
      <c r="P35" s="92"/>
      <c r="Q35" s="92"/>
      <c r="R35" s="93"/>
    </row>
    <row r="36" spans="2:18" x14ac:dyDescent="0.3">
      <c r="B36" s="91"/>
      <c r="C36" s="92"/>
      <c r="D36" s="92"/>
      <c r="E36" s="92"/>
      <c r="F36" s="93"/>
      <c r="H36" s="91"/>
      <c r="I36" s="92"/>
      <c r="J36" s="92"/>
      <c r="K36" s="92"/>
      <c r="L36" s="93"/>
      <c r="N36" s="91"/>
      <c r="O36" s="92"/>
      <c r="P36" s="92"/>
      <c r="Q36" s="92"/>
      <c r="R36" s="93"/>
    </row>
    <row r="37" spans="2:18" x14ac:dyDescent="0.3">
      <c r="B37" s="91"/>
      <c r="C37" s="92"/>
      <c r="D37" s="92"/>
      <c r="E37" s="92"/>
      <c r="F37" s="93"/>
      <c r="H37" s="91"/>
      <c r="I37" s="92"/>
      <c r="J37" s="92"/>
      <c r="K37" s="92"/>
      <c r="L37" s="93"/>
      <c r="N37" s="91"/>
      <c r="O37" s="92"/>
      <c r="P37" s="92"/>
      <c r="Q37" s="92"/>
      <c r="R37" s="93"/>
    </row>
    <row r="38" spans="2:18" x14ac:dyDescent="0.3">
      <c r="B38" s="91"/>
      <c r="C38" s="92"/>
      <c r="D38" s="92"/>
      <c r="E38" s="92"/>
      <c r="F38" s="93"/>
      <c r="H38" s="91"/>
      <c r="I38" s="92"/>
      <c r="J38" s="92"/>
      <c r="K38" s="92"/>
      <c r="L38" s="93"/>
      <c r="N38" s="91"/>
      <c r="O38" s="92"/>
      <c r="P38" s="92"/>
      <c r="Q38" s="92"/>
      <c r="R38" s="93"/>
    </row>
    <row r="39" spans="2:18" x14ac:dyDescent="0.3">
      <c r="B39" s="91"/>
      <c r="C39" s="92"/>
      <c r="D39" s="92"/>
      <c r="E39" s="92"/>
      <c r="F39" s="93"/>
      <c r="H39" s="91"/>
      <c r="I39" s="92"/>
      <c r="J39" s="92"/>
      <c r="K39" s="92"/>
      <c r="L39" s="93"/>
      <c r="N39" s="91"/>
      <c r="O39" s="92"/>
      <c r="P39" s="92"/>
      <c r="Q39" s="92"/>
      <c r="R39" s="93"/>
    </row>
    <row r="40" spans="2:18" x14ac:dyDescent="0.3">
      <c r="B40" s="91"/>
      <c r="C40" s="92"/>
      <c r="D40" s="92"/>
      <c r="E40" s="92"/>
      <c r="F40" s="93"/>
      <c r="H40" s="91"/>
      <c r="I40" s="92"/>
      <c r="J40" s="92"/>
      <c r="K40" s="92"/>
      <c r="L40" s="93"/>
      <c r="N40" s="91"/>
      <c r="O40" s="92"/>
      <c r="P40" s="92"/>
      <c r="Q40" s="92"/>
      <c r="R40" s="93"/>
    </row>
    <row r="41" spans="2:18" x14ac:dyDescent="0.3">
      <c r="B41" s="94"/>
      <c r="C41" s="95"/>
      <c r="D41" s="95"/>
      <c r="E41" s="95"/>
      <c r="F41" s="96"/>
      <c r="H41" s="94"/>
      <c r="I41" s="95"/>
      <c r="J41" s="95"/>
      <c r="K41" s="95"/>
      <c r="L41" s="96"/>
      <c r="N41" s="94"/>
      <c r="O41" s="95"/>
      <c r="P41" s="95"/>
      <c r="Q41" s="95"/>
      <c r="R41" s="96"/>
    </row>
    <row r="44" spans="2:18" x14ac:dyDescent="0.3">
      <c r="B44" s="85"/>
      <c r="C44" s="86"/>
      <c r="D44" s="86"/>
      <c r="E44" s="86"/>
      <c r="F44" s="87"/>
      <c r="H44" s="85"/>
      <c r="I44" s="86"/>
      <c r="J44" s="86"/>
      <c r="K44" s="86"/>
      <c r="L44" s="87"/>
      <c r="N44" s="85"/>
      <c r="O44" s="86"/>
      <c r="P44" s="86"/>
      <c r="Q44" s="86"/>
      <c r="R44" s="87"/>
    </row>
    <row r="45" spans="2:18" x14ac:dyDescent="0.3">
      <c r="B45" s="91"/>
      <c r="C45" s="92"/>
      <c r="D45" s="92"/>
      <c r="E45" s="92"/>
      <c r="F45" s="93"/>
      <c r="H45" s="91"/>
      <c r="I45" s="92"/>
      <c r="J45" s="92"/>
      <c r="K45" s="92"/>
      <c r="L45" s="93"/>
      <c r="N45" s="91"/>
      <c r="O45" s="92"/>
      <c r="P45" s="92"/>
      <c r="Q45" s="92"/>
      <c r="R45" s="93"/>
    </row>
    <row r="46" spans="2:18" x14ac:dyDescent="0.3">
      <c r="B46" s="91"/>
      <c r="C46" s="92"/>
      <c r="D46" s="92"/>
      <c r="E46" s="92"/>
      <c r="F46" s="93"/>
      <c r="H46" s="91"/>
      <c r="I46" s="92"/>
      <c r="J46" s="92"/>
      <c r="K46" s="92"/>
      <c r="L46" s="93"/>
      <c r="N46" s="91"/>
      <c r="O46" s="92"/>
      <c r="P46" s="92"/>
      <c r="Q46" s="92"/>
      <c r="R46" s="93"/>
    </row>
    <row r="47" spans="2:18" x14ac:dyDescent="0.3">
      <c r="B47" s="91"/>
      <c r="C47" s="92"/>
      <c r="D47" s="92"/>
      <c r="E47" s="92"/>
      <c r="F47" s="93"/>
      <c r="H47" s="91"/>
      <c r="I47" s="92"/>
      <c r="J47" s="92"/>
      <c r="K47" s="92"/>
      <c r="L47" s="93"/>
      <c r="N47" s="91"/>
      <c r="O47" s="92"/>
      <c r="P47" s="92"/>
      <c r="Q47" s="92"/>
      <c r="R47" s="93"/>
    </row>
    <row r="48" spans="2:18" x14ac:dyDescent="0.3">
      <c r="B48" s="91"/>
      <c r="C48" s="92"/>
      <c r="D48" s="92"/>
      <c r="E48" s="92"/>
      <c r="F48" s="93"/>
      <c r="H48" s="91"/>
      <c r="I48" s="92"/>
      <c r="J48" s="92"/>
      <c r="K48" s="92"/>
      <c r="L48" s="93"/>
      <c r="N48" s="91"/>
      <c r="O48" s="92"/>
      <c r="P48" s="92"/>
      <c r="Q48" s="92"/>
      <c r="R48" s="93"/>
    </row>
    <row r="49" spans="2:18" x14ac:dyDescent="0.3">
      <c r="B49" s="91"/>
      <c r="C49" s="92"/>
      <c r="D49" s="92"/>
      <c r="E49" s="92"/>
      <c r="F49" s="93"/>
      <c r="H49" s="91"/>
      <c r="I49" s="92"/>
      <c r="J49" s="92"/>
      <c r="K49" s="92"/>
      <c r="L49" s="93"/>
      <c r="N49" s="91"/>
      <c r="O49" s="92"/>
      <c r="P49" s="92"/>
      <c r="Q49" s="92"/>
      <c r="R49" s="93"/>
    </row>
    <row r="50" spans="2:18" x14ac:dyDescent="0.3">
      <c r="B50" s="91"/>
      <c r="C50" s="92"/>
      <c r="D50" s="92"/>
      <c r="E50" s="92"/>
      <c r="F50" s="93"/>
      <c r="H50" s="91"/>
      <c r="I50" s="92"/>
      <c r="J50" s="92"/>
      <c r="K50" s="92"/>
      <c r="L50" s="93"/>
      <c r="N50" s="91"/>
      <c r="O50" s="92"/>
      <c r="P50" s="92"/>
      <c r="Q50" s="92"/>
      <c r="R50" s="93"/>
    </row>
    <row r="51" spans="2:18" x14ac:dyDescent="0.3">
      <c r="B51" s="91"/>
      <c r="C51" s="92"/>
      <c r="D51" s="92"/>
      <c r="E51" s="92"/>
      <c r="F51" s="93"/>
      <c r="H51" s="91"/>
      <c r="I51" s="92"/>
      <c r="J51" s="92"/>
      <c r="K51" s="92"/>
      <c r="L51" s="93"/>
      <c r="N51" s="91"/>
      <c r="O51" s="92"/>
      <c r="P51" s="92"/>
      <c r="Q51" s="92"/>
      <c r="R51" s="93"/>
    </row>
    <row r="52" spans="2:18" x14ac:dyDescent="0.3">
      <c r="B52" s="37"/>
      <c r="F52" s="38"/>
      <c r="H52" s="37"/>
      <c r="L52" s="38"/>
      <c r="N52" s="37"/>
      <c r="R52" s="38"/>
    </row>
    <row r="53" spans="2:18" x14ac:dyDescent="0.3">
      <c r="B53" s="91"/>
      <c r="C53" s="92"/>
      <c r="D53" s="92"/>
      <c r="E53" s="92"/>
      <c r="F53" s="93"/>
      <c r="H53" s="91"/>
      <c r="I53" s="92"/>
      <c r="J53" s="92"/>
      <c r="K53" s="92"/>
      <c r="L53" s="93"/>
      <c r="N53" s="91"/>
      <c r="O53" s="92"/>
      <c r="P53" s="92"/>
      <c r="Q53" s="92"/>
      <c r="R53" s="93"/>
    </row>
    <row r="54" spans="2:18" x14ac:dyDescent="0.3">
      <c r="B54" s="91"/>
      <c r="C54" s="92"/>
      <c r="D54" s="92"/>
      <c r="E54" s="92"/>
      <c r="F54" s="93"/>
      <c r="H54" s="91"/>
      <c r="I54" s="92"/>
      <c r="J54" s="92"/>
      <c r="K54" s="92"/>
      <c r="L54" s="93"/>
      <c r="N54" s="91"/>
      <c r="O54" s="92"/>
      <c r="P54" s="92"/>
      <c r="Q54" s="92"/>
      <c r="R54" s="93"/>
    </row>
    <row r="55" spans="2:18" x14ac:dyDescent="0.3">
      <c r="B55" s="91"/>
      <c r="C55" s="92"/>
      <c r="D55" s="92"/>
      <c r="E55" s="92"/>
      <c r="F55" s="93"/>
      <c r="H55" s="91"/>
      <c r="I55" s="92"/>
      <c r="J55" s="92"/>
      <c r="K55" s="92"/>
      <c r="L55" s="93"/>
      <c r="N55" s="91"/>
      <c r="O55" s="92"/>
      <c r="P55" s="92"/>
      <c r="Q55" s="92"/>
      <c r="R55" s="93"/>
    </row>
    <row r="56" spans="2:18" x14ac:dyDescent="0.3">
      <c r="B56" s="91"/>
      <c r="C56" s="92"/>
      <c r="D56" s="92"/>
      <c r="E56" s="92"/>
      <c r="F56" s="93"/>
      <c r="H56" s="91"/>
      <c r="I56" s="92"/>
      <c r="J56" s="92"/>
      <c r="K56" s="92"/>
      <c r="L56" s="93"/>
      <c r="N56" s="91"/>
      <c r="O56" s="92"/>
      <c r="P56" s="92"/>
      <c r="Q56" s="92"/>
      <c r="R56" s="93"/>
    </row>
    <row r="57" spans="2:18" x14ac:dyDescent="0.3">
      <c r="B57" s="91"/>
      <c r="C57" s="92"/>
      <c r="D57" s="92"/>
      <c r="E57" s="92"/>
      <c r="F57" s="93"/>
      <c r="H57" s="91"/>
      <c r="I57" s="92"/>
      <c r="J57" s="92"/>
      <c r="K57" s="92"/>
      <c r="L57" s="93"/>
      <c r="N57" s="91"/>
      <c r="O57" s="92"/>
      <c r="P57" s="92"/>
      <c r="Q57" s="92"/>
      <c r="R57" s="93"/>
    </row>
    <row r="58" spans="2:18" x14ac:dyDescent="0.3">
      <c r="B58" s="91"/>
      <c r="C58" s="92"/>
      <c r="D58" s="92"/>
      <c r="E58" s="92"/>
      <c r="F58" s="93"/>
      <c r="H58" s="91"/>
      <c r="I58" s="92"/>
      <c r="J58" s="92"/>
      <c r="K58" s="92"/>
      <c r="L58" s="93"/>
      <c r="N58" s="91"/>
      <c r="O58" s="92"/>
      <c r="P58" s="92"/>
      <c r="Q58" s="92"/>
      <c r="R58" s="93"/>
    </row>
    <row r="59" spans="2:18" x14ac:dyDescent="0.3">
      <c r="B59" s="91"/>
      <c r="C59" s="92"/>
      <c r="D59" s="92"/>
      <c r="E59" s="92"/>
      <c r="F59" s="93"/>
      <c r="H59" s="91"/>
      <c r="I59" s="92"/>
      <c r="J59" s="92"/>
      <c r="K59" s="92"/>
      <c r="L59" s="93"/>
      <c r="N59" s="91"/>
      <c r="O59" s="92"/>
      <c r="P59" s="92"/>
      <c r="Q59" s="92"/>
      <c r="R59" s="93"/>
    </row>
    <row r="60" spans="2:18" x14ac:dyDescent="0.3">
      <c r="B60" s="94"/>
      <c r="C60" s="95"/>
      <c r="D60" s="95"/>
      <c r="E60" s="95"/>
      <c r="F60" s="96"/>
      <c r="H60" s="94"/>
      <c r="I60" s="95"/>
      <c r="J60" s="95"/>
      <c r="K60" s="95"/>
      <c r="L60" s="96"/>
      <c r="N60" s="94"/>
      <c r="O60" s="95"/>
      <c r="P60" s="95"/>
      <c r="Q60" s="95"/>
      <c r="R60" s="96"/>
    </row>
    <row r="63" spans="2:18" x14ac:dyDescent="0.3">
      <c r="B63" s="85"/>
      <c r="C63" s="86"/>
      <c r="D63" s="86"/>
      <c r="E63" s="86"/>
      <c r="F63" s="87"/>
      <c r="H63" s="85"/>
      <c r="I63" s="86"/>
      <c r="J63" s="86"/>
      <c r="K63" s="86"/>
      <c r="L63" s="87"/>
      <c r="N63" s="85"/>
      <c r="O63" s="86"/>
      <c r="P63" s="86"/>
      <c r="Q63" s="86"/>
      <c r="R63" s="87"/>
    </row>
    <row r="64" spans="2:18" x14ac:dyDescent="0.3">
      <c r="B64" s="91"/>
      <c r="C64" s="92"/>
      <c r="D64" s="92"/>
      <c r="E64" s="92"/>
      <c r="F64" s="93"/>
      <c r="H64" s="91"/>
      <c r="I64" s="92"/>
      <c r="J64" s="92"/>
      <c r="K64" s="92"/>
      <c r="L64" s="93"/>
      <c r="N64" s="91"/>
      <c r="O64" s="92"/>
      <c r="P64" s="92"/>
      <c r="Q64" s="92"/>
      <c r="R64" s="93"/>
    </row>
    <row r="65" spans="2:18" x14ac:dyDescent="0.3">
      <c r="B65" s="91"/>
      <c r="C65" s="92"/>
      <c r="D65" s="92"/>
      <c r="E65" s="92"/>
      <c r="F65" s="93"/>
      <c r="H65" s="91"/>
      <c r="I65" s="92"/>
      <c r="J65" s="92"/>
      <c r="K65" s="92"/>
      <c r="L65" s="93"/>
      <c r="N65" s="91"/>
      <c r="O65" s="92"/>
      <c r="P65" s="92"/>
      <c r="Q65" s="92"/>
      <c r="R65" s="93"/>
    </row>
    <row r="66" spans="2:18" x14ac:dyDescent="0.3">
      <c r="B66" s="91"/>
      <c r="C66" s="92"/>
      <c r="D66" s="92"/>
      <c r="E66" s="92"/>
      <c r="F66" s="93"/>
      <c r="H66" s="91"/>
      <c r="I66" s="92"/>
      <c r="J66" s="92"/>
      <c r="K66" s="92"/>
      <c r="L66" s="93"/>
      <c r="N66" s="91"/>
      <c r="O66" s="92"/>
      <c r="P66" s="92"/>
      <c r="Q66" s="92"/>
      <c r="R66" s="93"/>
    </row>
    <row r="67" spans="2:18" x14ac:dyDescent="0.3">
      <c r="B67" s="91"/>
      <c r="C67" s="92"/>
      <c r="D67" s="92"/>
      <c r="E67" s="92"/>
      <c r="F67" s="93"/>
      <c r="H67" s="91"/>
      <c r="I67" s="92"/>
      <c r="J67" s="92"/>
      <c r="K67" s="92"/>
      <c r="L67" s="93"/>
      <c r="N67" s="91"/>
      <c r="O67" s="92"/>
      <c r="P67" s="92"/>
      <c r="Q67" s="92"/>
      <c r="R67" s="93"/>
    </row>
    <row r="68" spans="2:18" x14ac:dyDescent="0.3">
      <c r="B68" s="91"/>
      <c r="C68" s="92"/>
      <c r="D68" s="92"/>
      <c r="E68" s="92"/>
      <c r="F68" s="93"/>
      <c r="H68" s="91"/>
      <c r="I68" s="92"/>
      <c r="J68" s="92"/>
      <c r="K68" s="92"/>
      <c r="L68" s="93"/>
      <c r="N68" s="91"/>
      <c r="O68" s="92"/>
      <c r="P68" s="92"/>
      <c r="Q68" s="92"/>
      <c r="R68" s="93"/>
    </row>
    <row r="69" spans="2:18" x14ac:dyDescent="0.3">
      <c r="B69" s="91"/>
      <c r="C69" s="92"/>
      <c r="D69" s="92"/>
      <c r="E69" s="92"/>
      <c r="F69" s="93"/>
      <c r="H69" s="91"/>
      <c r="I69" s="92"/>
      <c r="J69" s="92"/>
      <c r="K69" s="92"/>
      <c r="L69" s="93"/>
      <c r="N69" s="91"/>
      <c r="O69" s="92"/>
      <c r="P69" s="92"/>
      <c r="Q69" s="92"/>
      <c r="R69" s="93"/>
    </row>
    <row r="70" spans="2:18" x14ac:dyDescent="0.3">
      <c r="B70" s="91"/>
      <c r="C70" s="92"/>
      <c r="D70" s="92"/>
      <c r="E70" s="92"/>
      <c r="F70" s="93"/>
      <c r="H70" s="91"/>
      <c r="I70" s="92"/>
      <c r="J70" s="92"/>
      <c r="K70" s="92"/>
      <c r="L70" s="93"/>
      <c r="N70" s="91"/>
      <c r="O70" s="92"/>
      <c r="P70" s="92"/>
      <c r="Q70" s="92"/>
      <c r="R70" s="93"/>
    </row>
    <row r="71" spans="2:18" x14ac:dyDescent="0.3">
      <c r="B71" s="37"/>
      <c r="F71" s="38"/>
      <c r="H71" s="37"/>
      <c r="L71" s="38"/>
      <c r="N71" s="37"/>
      <c r="R71" s="38"/>
    </row>
    <row r="72" spans="2:18" x14ac:dyDescent="0.3">
      <c r="B72" s="91"/>
      <c r="C72" s="92"/>
      <c r="D72" s="92"/>
      <c r="E72" s="92"/>
      <c r="F72" s="93"/>
      <c r="H72" s="91"/>
      <c r="I72" s="92"/>
      <c r="J72" s="92"/>
      <c r="K72" s="92"/>
      <c r="L72" s="93"/>
      <c r="N72" s="91"/>
      <c r="O72" s="92"/>
      <c r="P72" s="92"/>
      <c r="Q72" s="92"/>
      <c r="R72" s="93"/>
    </row>
    <row r="73" spans="2:18" x14ac:dyDescent="0.3">
      <c r="B73" s="91"/>
      <c r="C73" s="92"/>
      <c r="D73" s="92"/>
      <c r="E73" s="92"/>
      <c r="F73" s="93"/>
      <c r="H73" s="91"/>
      <c r="I73" s="92"/>
      <c r="J73" s="92"/>
      <c r="K73" s="92"/>
      <c r="L73" s="93"/>
      <c r="N73" s="91"/>
      <c r="O73" s="92"/>
      <c r="P73" s="92"/>
      <c r="Q73" s="92"/>
      <c r="R73" s="93"/>
    </row>
    <row r="74" spans="2:18" x14ac:dyDescent="0.3">
      <c r="B74" s="91"/>
      <c r="C74" s="92"/>
      <c r="D74" s="92"/>
      <c r="E74" s="92"/>
      <c r="F74" s="93"/>
      <c r="H74" s="91"/>
      <c r="I74" s="92"/>
      <c r="J74" s="92"/>
      <c r="K74" s="92"/>
      <c r="L74" s="93"/>
      <c r="N74" s="91"/>
      <c r="O74" s="92"/>
      <c r="P74" s="92"/>
      <c r="Q74" s="92"/>
      <c r="R74" s="93"/>
    </row>
    <row r="75" spans="2:18" x14ac:dyDescent="0.3">
      <c r="B75" s="91"/>
      <c r="C75" s="92"/>
      <c r="D75" s="92"/>
      <c r="E75" s="92"/>
      <c r="F75" s="93"/>
      <c r="H75" s="91"/>
      <c r="I75" s="92"/>
      <c r="J75" s="92"/>
      <c r="K75" s="92"/>
      <c r="L75" s="93"/>
      <c r="N75" s="91"/>
      <c r="O75" s="92"/>
      <c r="P75" s="92"/>
      <c r="Q75" s="92"/>
      <c r="R75" s="93"/>
    </row>
    <row r="76" spans="2:18" x14ac:dyDescent="0.3">
      <c r="B76" s="91"/>
      <c r="C76" s="92"/>
      <c r="D76" s="92"/>
      <c r="E76" s="92"/>
      <c r="F76" s="93"/>
      <c r="H76" s="91"/>
      <c r="I76" s="92"/>
      <c r="J76" s="92"/>
      <c r="K76" s="92"/>
      <c r="L76" s="93"/>
      <c r="N76" s="91"/>
      <c r="O76" s="92"/>
      <c r="P76" s="92"/>
      <c r="Q76" s="92"/>
      <c r="R76" s="93"/>
    </row>
    <row r="77" spans="2:18" x14ac:dyDescent="0.3">
      <c r="B77" s="91"/>
      <c r="C77" s="92"/>
      <c r="D77" s="92"/>
      <c r="E77" s="92"/>
      <c r="F77" s="93"/>
      <c r="H77" s="91"/>
      <c r="I77" s="92"/>
      <c r="J77" s="92"/>
      <c r="K77" s="92"/>
      <c r="L77" s="93"/>
      <c r="N77" s="91"/>
      <c r="O77" s="92"/>
      <c r="P77" s="92"/>
      <c r="Q77" s="92"/>
      <c r="R77" s="93"/>
    </row>
    <row r="78" spans="2:18" x14ac:dyDescent="0.3">
      <c r="B78" s="91"/>
      <c r="C78" s="92"/>
      <c r="D78" s="92"/>
      <c r="E78" s="92"/>
      <c r="F78" s="93"/>
      <c r="H78" s="91"/>
      <c r="I78" s="92"/>
      <c r="J78" s="92"/>
      <c r="K78" s="92"/>
      <c r="L78" s="93"/>
      <c r="N78" s="91"/>
      <c r="O78" s="92"/>
      <c r="P78" s="92"/>
      <c r="Q78" s="92"/>
      <c r="R78" s="93"/>
    </row>
    <row r="79" spans="2:18" x14ac:dyDescent="0.3">
      <c r="B79" s="94"/>
      <c r="C79" s="95"/>
      <c r="D79" s="95"/>
      <c r="E79" s="95"/>
      <c r="F79" s="96"/>
      <c r="H79" s="94"/>
      <c r="I79" s="95"/>
      <c r="J79" s="95"/>
      <c r="K79" s="95"/>
      <c r="L79" s="96"/>
      <c r="N79" s="94"/>
      <c r="O79" s="95"/>
      <c r="P79" s="95"/>
      <c r="Q79" s="95"/>
      <c r="R79" s="96"/>
    </row>
  </sheetData>
  <mergeCells count="37">
    <mergeCell ref="B64:F70"/>
    <mergeCell ref="H64:L70"/>
    <mergeCell ref="N64:R70"/>
    <mergeCell ref="B72:F79"/>
    <mergeCell ref="H72:L79"/>
    <mergeCell ref="N72:R79"/>
    <mergeCell ref="B53:F60"/>
    <mergeCell ref="H53:L60"/>
    <mergeCell ref="N53:R60"/>
    <mergeCell ref="B63:F63"/>
    <mergeCell ref="H63:L63"/>
    <mergeCell ref="N63:R63"/>
    <mergeCell ref="B44:F44"/>
    <mergeCell ref="H44:L44"/>
    <mergeCell ref="N44:R44"/>
    <mergeCell ref="B45:F51"/>
    <mergeCell ref="H45:L51"/>
    <mergeCell ref="N45:R51"/>
    <mergeCell ref="B26:F32"/>
    <mergeCell ref="H26:L32"/>
    <mergeCell ref="N26:R32"/>
    <mergeCell ref="B34:F41"/>
    <mergeCell ref="H34:L41"/>
    <mergeCell ref="N34:R41"/>
    <mergeCell ref="B15:F22"/>
    <mergeCell ref="H15:L22"/>
    <mergeCell ref="N15:R22"/>
    <mergeCell ref="B25:F25"/>
    <mergeCell ref="H25:L25"/>
    <mergeCell ref="N25:R25"/>
    <mergeCell ref="B3:B4"/>
    <mergeCell ref="B6:F6"/>
    <mergeCell ref="H6:L6"/>
    <mergeCell ref="N6:R6"/>
    <mergeCell ref="B7:F13"/>
    <mergeCell ref="H7:L13"/>
    <mergeCell ref="N7:R1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AA872-BF72-4A6B-9137-CAEB5B97CEF7}">
  <sheetPr codeName="Sheet3"/>
  <dimension ref="B3:I14"/>
  <sheetViews>
    <sheetView workbookViewId="0">
      <selection activeCell="H10" sqref="H10:I10"/>
    </sheetView>
  </sheetViews>
  <sheetFormatPr defaultRowHeight="14.4" x14ac:dyDescent="0.3"/>
  <sheetData>
    <row r="3" spans="2:9" x14ac:dyDescent="0.3">
      <c r="B3" s="1" t="s">
        <v>31</v>
      </c>
      <c r="C3" s="20">
        <v>5807</v>
      </c>
      <c r="E3" s="1" t="s">
        <v>31</v>
      </c>
      <c r="F3" s="20">
        <v>4821</v>
      </c>
      <c r="H3" s="100" t="s">
        <v>36</v>
      </c>
      <c r="I3" s="100"/>
    </row>
    <row r="4" spans="2:9" x14ac:dyDescent="0.3">
      <c r="B4" s="1" t="s">
        <v>32</v>
      </c>
      <c r="C4" s="1" t="s">
        <v>33</v>
      </c>
      <c r="E4" s="1" t="s">
        <v>32</v>
      </c>
      <c r="F4" s="1" t="s">
        <v>34</v>
      </c>
      <c r="H4" s="101">
        <f>IF(BILL!I34&gt;0,BILL!I34+BILL!I36+BILL!I37,"")</f>
        <v>93810</v>
      </c>
      <c r="I4" s="102"/>
    </row>
    <row r="5" spans="2:9" x14ac:dyDescent="0.3">
      <c r="B5" s="97" t="str">
        <f>IF(BILL!E25=5807,BILL!I25,"")</f>
        <v/>
      </c>
      <c r="C5" s="97"/>
      <c r="E5" s="97">
        <f>IF(BILL!E25=4821,BILL!I25,"")</f>
        <v>79500</v>
      </c>
      <c r="F5" s="97"/>
    </row>
    <row r="6" spans="2:9" x14ac:dyDescent="0.3">
      <c r="B6" s="97" t="str">
        <f>IF(BILL!E26=5807,BILL!I26,"")</f>
        <v/>
      </c>
      <c r="C6" s="97"/>
      <c r="E6" s="97" t="str">
        <f>IF(BILL!E26=4821,BILL!I26,"")</f>
        <v/>
      </c>
      <c r="F6" s="97"/>
      <c r="H6" s="100" t="s">
        <v>37</v>
      </c>
      <c r="I6" s="100"/>
    </row>
    <row r="7" spans="2:9" x14ac:dyDescent="0.3">
      <c r="B7" s="97" t="str">
        <f>IF(BILL!E27=5807,BILL!I27,"")</f>
        <v/>
      </c>
      <c r="C7" s="97"/>
      <c r="E7" s="97" t="str">
        <f>IF(BILL!E27=4821,BILL!I27,"")</f>
        <v/>
      </c>
      <c r="F7" s="97"/>
      <c r="H7" s="101">
        <f>IF(BILL!I34&gt;0,ROUND(H4,0),"")</f>
        <v>93810</v>
      </c>
      <c r="I7" s="102"/>
    </row>
    <row r="8" spans="2:9" x14ac:dyDescent="0.3">
      <c r="B8" s="97" t="str">
        <f>IF(BILL!E28=5807,BILL!I28,"")</f>
        <v/>
      </c>
      <c r="C8" s="97"/>
      <c r="E8" s="97" t="str">
        <f>IF(BILL!E28=4821,BILL!I28,"")</f>
        <v/>
      </c>
      <c r="F8" s="97"/>
    </row>
    <row r="9" spans="2:9" x14ac:dyDescent="0.3">
      <c r="B9" s="97" t="str">
        <f>IF(BILL!E29=5807,BILL!I29,"")</f>
        <v/>
      </c>
      <c r="C9" s="97"/>
      <c r="E9" s="97" t="str">
        <f>IF(BILL!E29=4821,BILL!I29,"")</f>
        <v/>
      </c>
      <c r="F9" s="97"/>
      <c r="H9" s="100" t="s">
        <v>38</v>
      </c>
      <c r="I9" s="100"/>
    </row>
    <row r="10" spans="2:9" x14ac:dyDescent="0.3">
      <c r="B10" s="97" t="str">
        <f>IF(BILL!E30=5807,BILL!I30,"")</f>
        <v/>
      </c>
      <c r="C10" s="97"/>
      <c r="E10" s="97" t="str">
        <f>IF(BILL!E30=4821,BILL!I30,"")</f>
        <v/>
      </c>
      <c r="F10" s="97"/>
      <c r="H10" s="101">
        <f>IF(BILL!I34&gt;0,H7-H4,"")</f>
        <v>0</v>
      </c>
      <c r="I10" s="102"/>
    </row>
    <row r="11" spans="2:9" x14ac:dyDescent="0.3">
      <c r="B11" s="97" t="str">
        <f>IF(BILL!E31=5807,BILL!I31,"")</f>
        <v/>
      </c>
      <c r="C11" s="97"/>
      <c r="E11" s="97" t="str">
        <f>IF(BILL!E31=4821,BILL!I31,"")</f>
        <v/>
      </c>
      <c r="F11" s="97"/>
    </row>
    <row r="12" spans="2:9" x14ac:dyDescent="0.3">
      <c r="B12" s="97" t="str">
        <f>IF(BILL!E32=5807,BILL!I32,"")</f>
        <v/>
      </c>
      <c r="C12" s="97"/>
      <c r="E12" s="97" t="str">
        <f>IF(BILL!E32=4821,BILL!I32,"")</f>
        <v/>
      </c>
      <c r="F12" s="97"/>
    </row>
    <row r="13" spans="2:9" x14ac:dyDescent="0.3">
      <c r="B13" s="97" t="str">
        <f>IF(BILL!E33=5807,BILL!I33,"")</f>
        <v/>
      </c>
      <c r="C13" s="97"/>
      <c r="E13" s="97" t="str">
        <f>IF(BILL!E33=4821,BILL!I33,"")</f>
        <v/>
      </c>
      <c r="F13" s="97"/>
    </row>
    <row r="14" spans="2:9" x14ac:dyDescent="0.3">
      <c r="B14" s="98">
        <f>SUM(B5:C13)</f>
        <v>0</v>
      </c>
      <c r="C14" s="99"/>
      <c r="E14" s="98">
        <f>SUM(E5:F13)</f>
        <v>79500</v>
      </c>
      <c r="F14" s="99"/>
    </row>
  </sheetData>
  <mergeCells count="26">
    <mergeCell ref="E12:F12"/>
    <mergeCell ref="E13:F13"/>
    <mergeCell ref="B14:C14"/>
    <mergeCell ref="E14:F14"/>
    <mergeCell ref="H3:I3"/>
    <mergeCell ref="H4:I4"/>
    <mergeCell ref="H6:I6"/>
    <mergeCell ref="H7:I7"/>
    <mergeCell ref="H9:I9"/>
    <mergeCell ref="H10:I10"/>
    <mergeCell ref="B11:C11"/>
    <mergeCell ref="B12:C12"/>
    <mergeCell ref="B13:C13"/>
    <mergeCell ref="E5:F5"/>
    <mergeCell ref="E6:F6"/>
    <mergeCell ref="E7:F7"/>
    <mergeCell ref="E8:F8"/>
    <mergeCell ref="E9:F9"/>
    <mergeCell ref="E10:F10"/>
    <mergeCell ref="E11:F11"/>
    <mergeCell ref="B5:C5"/>
    <mergeCell ref="B6:C6"/>
    <mergeCell ref="B7:C7"/>
    <mergeCell ref="B8:C8"/>
    <mergeCell ref="B9:C9"/>
    <mergeCell ref="B10: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</vt:lpstr>
      <vt:lpstr>CLIENTS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 Arts</dc:creator>
  <cp:lastModifiedBy>Niyazalam Shaikh</cp:lastModifiedBy>
  <cp:lastPrinted>2025-02-11T11:00:47Z</cp:lastPrinted>
  <dcterms:created xsi:type="dcterms:W3CDTF">2015-06-05T18:17:20Z</dcterms:created>
  <dcterms:modified xsi:type="dcterms:W3CDTF">2026-03-02T23:10:49Z</dcterms:modified>
</cp:coreProperties>
</file>